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tom-my.sharepoint.com/personal/a_gere_istom_fr/Documents/Stat. et data analysis/TD/P114/Claudel_Ines/data_raw/"/>
    </mc:Choice>
  </mc:AlternateContent>
  <xr:revisionPtr revIDLastSave="0" documentId="8_{9AF6FBB5-79A8-854B-B475-9C07F4C95D69}" xr6:coauthVersionLast="47" xr6:coauthVersionMax="47" xr10:uidLastSave="{00000000-0000-0000-0000-000000000000}"/>
  <bookViews>
    <workbookView xWindow="-120" yWindow="760" windowWidth="29040" windowHeight="17740" xr2:uid="{AE876EB2-AFCD-413B-8DD1-A45AA7E17A42}"/>
  </bookViews>
  <sheets>
    <sheet name="Coop_Cahier_Kassarou_1" sheetId="5" r:id="rId1"/>
    <sheet name="Tâches" sheetId="6" r:id="rId2"/>
  </sheets>
  <definedNames>
    <definedName name="_xlnm._FilterDatabase" localSheetId="0" hidden="1">Coop_Cahier_Kassarou_1!$A$1:$Y$188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5" l="1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2" i="5"/>
  <c r="X13" i="5"/>
  <c r="X19" i="5"/>
  <c r="X21" i="5"/>
  <c r="X23" i="5"/>
  <c r="X26" i="5"/>
  <c r="X32" i="5"/>
  <c r="X36" i="5"/>
  <c r="X59" i="5"/>
  <c r="X61" i="5"/>
  <c r="X65" i="5"/>
  <c r="X67" i="5"/>
  <c r="X78" i="5"/>
  <c r="X81" i="5"/>
  <c r="X91" i="5"/>
  <c r="X97" i="5"/>
  <c r="X98" i="5"/>
  <c r="X100" i="5"/>
  <c r="X102" i="5"/>
  <c r="X151" i="5"/>
  <c r="X174" i="5"/>
  <c r="X179" i="5"/>
  <c r="X180" i="5"/>
  <c r="X188" i="5"/>
  <c r="R24" i="5"/>
  <c r="R96" i="5"/>
  <c r="R166" i="5"/>
  <c r="V188" i="5"/>
  <c r="U188" i="5"/>
  <c r="F188" i="5"/>
  <c r="V187" i="5"/>
  <c r="U187" i="5"/>
  <c r="X187" i="5" s="1"/>
  <c r="F187" i="5"/>
  <c r="V186" i="5"/>
  <c r="U186" i="5"/>
  <c r="X186" i="5" s="1"/>
  <c r="F186" i="5"/>
  <c r="V185" i="5"/>
  <c r="U185" i="5"/>
  <c r="X185" i="5" s="1"/>
  <c r="F185" i="5"/>
  <c r="V184" i="5"/>
  <c r="U184" i="5"/>
  <c r="X184" i="5" s="1"/>
  <c r="F184" i="5"/>
  <c r="V183" i="5"/>
  <c r="U183" i="5"/>
  <c r="X183" i="5" s="1"/>
  <c r="F183" i="5"/>
  <c r="V182" i="5"/>
  <c r="U182" i="5"/>
  <c r="X182" i="5" s="1"/>
  <c r="F182" i="5"/>
  <c r="V181" i="5"/>
  <c r="U181" i="5"/>
  <c r="X181" i="5" s="1"/>
  <c r="F181" i="5"/>
  <c r="V180" i="5"/>
  <c r="U180" i="5"/>
  <c r="F180" i="5"/>
  <c r="V179" i="5"/>
  <c r="U179" i="5"/>
  <c r="F179" i="5"/>
  <c r="O178" i="5"/>
  <c r="R178" i="5" s="1"/>
  <c r="F178" i="5"/>
  <c r="O177" i="5"/>
  <c r="R177" i="5" s="1"/>
  <c r="F177" i="5"/>
  <c r="O176" i="5"/>
  <c r="R176" i="5" s="1"/>
  <c r="F176" i="5"/>
  <c r="O173" i="5"/>
  <c r="R173" i="5" s="1"/>
  <c r="F173" i="5"/>
  <c r="O172" i="5"/>
  <c r="R172" i="5" s="1"/>
  <c r="F172" i="5"/>
  <c r="O171" i="5"/>
  <c r="R171" i="5" s="1"/>
  <c r="F171" i="5"/>
  <c r="O170" i="5"/>
  <c r="R170" i="5" s="1"/>
  <c r="F170" i="5"/>
  <c r="O169" i="5"/>
  <c r="R169" i="5" s="1"/>
  <c r="F169" i="5"/>
  <c r="O168" i="5"/>
  <c r="R168" i="5" s="1"/>
  <c r="F168" i="5"/>
  <c r="O167" i="5"/>
  <c r="R167" i="5" s="1"/>
  <c r="F167" i="5"/>
  <c r="O164" i="5"/>
  <c r="R164" i="5" s="1"/>
  <c r="F164" i="5"/>
  <c r="O163" i="5"/>
  <c r="R163" i="5" s="1"/>
  <c r="F163" i="5"/>
  <c r="O162" i="5"/>
  <c r="R162" i="5" s="1"/>
  <c r="F162" i="5"/>
  <c r="O161" i="5"/>
  <c r="R161" i="5" s="1"/>
  <c r="F161" i="5"/>
  <c r="O159" i="5"/>
  <c r="R159" i="5" s="1"/>
  <c r="F159" i="5"/>
  <c r="O157" i="5"/>
  <c r="R157" i="5" s="1"/>
  <c r="F157" i="5"/>
  <c r="O156" i="5"/>
  <c r="R156" i="5" s="1"/>
  <c r="F156" i="5"/>
  <c r="O155" i="5"/>
  <c r="R155" i="5" s="1"/>
  <c r="F155" i="5"/>
  <c r="O154" i="5"/>
  <c r="R154" i="5" s="1"/>
  <c r="F154" i="5"/>
  <c r="O152" i="5"/>
  <c r="R152" i="5" s="1"/>
  <c r="F152" i="5"/>
  <c r="O150" i="5"/>
  <c r="R150" i="5" s="1"/>
  <c r="F150" i="5"/>
  <c r="O149" i="5"/>
  <c r="R149" i="5" s="1"/>
  <c r="F149" i="5"/>
  <c r="O148" i="5"/>
  <c r="R148" i="5" s="1"/>
  <c r="F148" i="5"/>
  <c r="O146" i="5"/>
  <c r="R146" i="5" s="1"/>
  <c r="F146" i="5"/>
  <c r="O145" i="5"/>
  <c r="R145" i="5" s="1"/>
  <c r="F145" i="5"/>
  <c r="O144" i="5"/>
  <c r="R144" i="5" s="1"/>
  <c r="F144" i="5"/>
  <c r="O143" i="5"/>
  <c r="R143" i="5" s="1"/>
  <c r="F143" i="5"/>
  <c r="O142" i="5"/>
  <c r="R142" i="5" s="1"/>
  <c r="F142" i="5"/>
  <c r="O141" i="5"/>
  <c r="R141" i="5" s="1"/>
  <c r="F141" i="5"/>
  <c r="O139" i="5"/>
  <c r="R139" i="5" s="1"/>
  <c r="F139" i="5"/>
  <c r="O138" i="5"/>
  <c r="R138" i="5" s="1"/>
  <c r="F138" i="5"/>
  <c r="O137" i="5"/>
  <c r="R137" i="5" s="1"/>
  <c r="F137" i="5"/>
  <c r="O136" i="5"/>
  <c r="R136" i="5" s="1"/>
  <c r="F136" i="5"/>
  <c r="O135" i="5"/>
  <c r="R135" i="5" s="1"/>
  <c r="F135" i="5"/>
  <c r="O133" i="5"/>
  <c r="R133" i="5" s="1"/>
  <c r="F133" i="5"/>
  <c r="O131" i="5"/>
  <c r="R131" i="5" s="1"/>
  <c r="F131" i="5"/>
  <c r="O129" i="5"/>
  <c r="R129" i="5" s="1"/>
  <c r="F129" i="5"/>
  <c r="O128" i="5"/>
  <c r="R128" i="5" s="1"/>
  <c r="F128" i="5"/>
  <c r="O127" i="5"/>
  <c r="R127" i="5" s="1"/>
  <c r="F127" i="5"/>
  <c r="O126" i="5"/>
  <c r="R126" i="5" s="1"/>
  <c r="F126" i="5"/>
  <c r="O125" i="5"/>
  <c r="R125" i="5" s="1"/>
  <c r="F125" i="5"/>
  <c r="O123" i="5"/>
  <c r="R123" i="5" s="1"/>
  <c r="F123" i="5"/>
  <c r="O121" i="5"/>
  <c r="R121" i="5" s="1"/>
  <c r="F121" i="5"/>
  <c r="O120" i="5"/>
  <c r="R120" i="5" s="1"/>
  <c r="F120" i="5"/>
  <c r="O118" i="5"/>
  <c r="R118" i="5" s="1"/>
  <c r="F118" i="5"/>
  <c r="O117" i="5"/>
  <c r="R117" i="5" s="1"/>
  <c r="F117" i="5"/>
  <c r="O116" i="5"/>
  <c r="R116" i="5" s="1"/>
  <c r="F116" i="5"/>
  <c r="O115" i="5"/>
  <c r="R115" i="5" s="1"/>
  <c r="F115" i="5"/>
  <c r="O114" i="5"/>
  <c r="R114" i="5" s="1"/>
  <c r="F114" i="5"/>
  <c r="O113" i="5"/>
  <c r="R113" i="5" s="1"/>
  <c r="F113" i="5"/>
  <c r="V175" i="5"/>
  <c r="U175" i="5"/>
  <c r="X175" i="5" s="1"/>
  <c r="O175" i="5"/>
  <c r="R175" i="5" s="1"/>
  <c r="F175" i="5"/>
  <c r="V174" i="5"/>
  <c r="U174" i="5"/>
  <c r="O174" i="5"/>
  <c r="R174" i="5" s="1"/>
  <c r="F174" i="5"/>
  <c r="V166" i="5"/>
  <c r="U166" i="5"/>
  <c r="X166" i="5" s="1"/>
  <c r="O166" i="5"/>
  <c r="F166" i="5"/>
  <c r="V165" i="5"/>
  <c r="U165" i="5"/>
  <c r="X165" i="5" s="1"/>
  <c r="O165" i="5"/>
  <c r="R165" i="5" s="1"/>
  <c r="F165" i="5"/>
  <c r="V160" i="5"/>
  <c r="U160" i="5"/>
  <c r="X160" i="5" s="1"/>
  <c r="O160" i="5"/>
  <c r="R160" i="5" s="1"/>
  <c r="F160" i="5"/>
  <c r="V158" i="5"/>
  <c r="U158" i="5"/>
  <c r="X158" i="5" s="1"/>
  <c r="O158" i="5"/>
  <c r="R158" i="5" s="1"/>
  <c r="F158" i="5"/>
  <c r="V153" i="5"/>
  <c r="U153" i="5"/>
  <c r="X153" i="5" s="1"/>
  <c r="O153" i="5"/>
  <c r="R153" i="5" s="1"/>
  <c r="F153" i="5"/>
  <c r="V151" i="5"/>
  <c r="U151" i="5"/>
  <c r="O151" i="5"/>
  <c r="R151" i="5" s="1"/>
  <c r="F151" i="5"/>
  <c r="V147" i="5"/>
  <c r="U147" i="5"/>
  <c r="X147" i="5" s="1"/>
  <c r="O147" i="5"/>
  <c r="R147" i="5" s="1"/>
  <c r="F147" i="5"/>
  <c r="V140" i="5"/>
  <c r="U140" i="5"/>
  <c r="X140" i="5" s="1"/>
  <c r="O140" i="5"/>
  <c r="R140" i="5" s="1"/>
  <c r="F140" i="5"/>
  <c r="V134" i="5"/>
  <c r="U134" i="5"/>
  <c r="X134" i="5" s="1"/>
  <c r="O134" i="5"/>
  <c r="R134" i="5" s="1"/>
  <c r="F134" i="5"/>
  <c r="V132" i="5"/>
  <c r="U132" i="5"/>
  <c r="X132" i="5" s="1"/>
  <c r="O132" i="5"/>
  <c r="R132" i="5" s="1"/>
  <c r="F132" i="5"/>
  <c r="V130" i="5"/>
  <c r="U130" i="5"/>
  <c r="X130" i="5" s="1"/>
  <c r="O130" i="5"/>
  <c r="R130" i="5" s="1"/>
  <c r="F130" i="5"/>
  <c r="V124" i="5"/>
  <c r="U124" i="5"/>
  <c r="X124" i="5" s="1"/>
  <c r="O124" i="5"/>
  <c r="R124" i="5" s="1"/>
  <c r="F124" i="5"/>
  <c r="V122" i="5"/>
  <c r="U122" i="5"/>
  <c r="X122" i="5" s="1"/>
  <c r="O122" i="5"/>
  <c r="R122" i="5" s="1"/>
  <c r="F122" i="5"/>
  <c r="V119" i="5"/>
  <c r="U119" i="5"/>
  <c r="X119" i="5" s="1"/>
  <c r="O119" i="5"/>
  <c r="R119" i="5" s="1"/>
  <c r="F119" i="5"/>
  <c r="V112" i="5"/>
  <c r="U112" i="5"/>
  <c r="X112" i="5" s="1"/>
  <c r="O112" i="5"/>
  <c r="R112" i="5" s="1"/>
  <c r="F112" i="5"/>
  <c r="I111" i="5"/>
  <c r="L111" i="5" s="1"/>
  <c r="F111" i="5"/>
  <c r="I110" i="5"/>
  <c r="L110" i="5" s="1"/>
  <c r="F110" i="5"/>
  <c r="I106" i="5"/>
  <c r="L106" i="5" s="1"/>
  <c r="F106" i="5"/>
  <c r="I104" i="5"/>
  <c r="L104" i="5" s="1"/>
  <c r="F104" i="5"/>
  <c r="I95" i="5"/>
  <c r="L95" i="5" s="1"/>
  <c r="F95" i="5"/>
  <c r="I93" i="5"/>
  <c r="L93" i="5" s="1"/>
  <c r="F93" i="5"/>
  <c r="I92" i="5"/>
  <c r="L92" i="5" s="1"/>
  <c r="F92" i="5"/>
  <c r="I89" i="5"/>
  <c r="L89" i="5" s="1"/>
  <c r="F89" i="5"/>
  <c r="I86" i="5"/>
  <c r="L86" i="5" s="1"/>
  <c r="F86" i="5"/>
  <c r="I55" i="5"/>
  <c r="L55" i="5" s="1"/>
  <c r="F55" i="5"/>
  <c r="I49" i="5"/>
  <c r="L49" i="5" s="1"/>
  <c r="F49" i="5"/>
  <c r="I47" i="5"/>
  <c r="L47" i="5" s="1"/>
  <c r="F47" i="5"/>
  <c r="I40" i="5"/>
  <c r="L40" i="5" s="1"/>
  <c r="F40" i="5"/>
  <c r="I35" i="5"/>
  <c r="L35" i="5" s="1"/>
  <c r="F35" i="5"/>
  <c r="I34" i="5"/>
  <c r="L34" i="5" s="1"/>
  <c r="F34" i="5"/>
  <c r="I2" i="5"/>
  <c r="L2" i="5" s="1"/>
  <c r="F2" i="5"/>
  <c r="I80" i="5"/>
  <c r="L80" i="5" s="1"/>
  <c r="F80" i="5"/>
  <c r="I25" i="5"/>
  <c r="L25" i="5" s="1"/>
  <c r="F25" i="5"/>
  <c r="I17" i="5"/>
  <c r="L17" i="5" s="1"/>
  <c r="F17" i="5"/>
  <c r="O105" i="5"/>
  <c r="R105" i="5" s="1"/>
  <c r="I105" i="5"/>
  <c r="L105" i="5" s="1"/>
  <c r="F105" i="5"/>
  <c r="V96" i="5"/>
  <c r="U96" i="5"/>
  <c r="X96" i="5" s="1"/>
  <c r="O96" i="5"/>
  <c r="I96" i="5"/>
  <c r="L96" i="5" s="1"/>
  <c r="F96" i="5"/>
  <c r="V90" i="5"/>
  <c r="U90" i="5"/>
  <c r="X90" i="5" s="1"/>
  <c r="O90" i="5"/>
  <c r="R90" i="5" s="1"/>
  <c r="I90" i="5"/>
  <c r="L90" i="5" s="1"/>
  <c r="F90" i="5"/>
  <c r="O88" i="5"/>
  <c r="R88" i="5" s="1"/>
  <c r="I88" i="5"/>
  <c r="L88" i="5" s="1"/>
  <c r="F88" i="5"/>
  <c r="O82" i="5"/>
  <c r="R82" i="5" s="1"/>
  <c r="I82" i="5"/>
  <c r="L82" i="5" s="1"/>
  <c r="F82" i="5"/>
  <c r="O72" i="5"/>
  <c r="R72" i="5" s="1"/>
  <c r="I72" i="5"/>
  <c r="L72" i="5" s="1"/>
  <c r="F72" i="5"/>
  <c r="O62" i="5"/>
  <c r="R62" i="5" s="1"/>
  <c r="I62" i="5"/>
  <c r="L62" i="5" s="1"/>
  <c r="F62" i="5"/>
  <c r="O42" i="5"/>
  <c r="R42" i="5" s="1"/>
  <c r="I42" i="5"/>
  <c r="L42" i="5" s="1"/>
  <c r="F42" i="5"/>
  <c r="O41" i="5"/>
  <c r="R41" i="5" s="1"/>
  <c r="I41" i="5"/>
  <c r="L41" i="5" s="1"/>
  <c r="F41" i="5"/>
  <c r="O10" i="5"/>
  <c r="R10" i="5" s="1"/>
  <c r="I10" i="5"/>
  <c r="L10" i="5" s="1"/>
  <c r="F10" i="5"/>
  <c r="V109" i="5"/>
  <c r="U109" i="5"/>
  <c r="X109" i="5" s="1"/>
  <c r="O109" i="5"/>
  <c r="R109" i="5" s="1"/>
  <c r="I109" i="5"/>
  <c r="L109" i="5" s="1"/>
  <c r="F109" i="5"/>
  <c r="V108" i="5"/>
  <c r="U108" i="5"/>
  <c r="X108" i="5" s="1"/>
  <c r="O108" i="5"/>
  <c r="R108" i="5" s="1"/>
  <c r="I108" i="5"/>
  <c r="L108" i="5" s="1"/>
  <c r="F108" i="5"/>
  <c r="V107" i="5"/>
  <c r="U107" i="5"/>
  <c r="X107" i="5" s="1"/>
  <c r="O107" i="5"/>
  <c r="R107" i="5" s="1"/>
  <c r="I107" i="5"/>
  <c r="L107" i="5" s="1"/>
  <c r="F107" i="5"/>
  <c r="V103" i="5"/>
  <c r="U103" i="5"/>
  <c r="X103" i="5" s="1"/>
  <c r="O103" i="5"/>
  <c r="R103" i="5" s="1"/>
  <c r="I103" i="5"/>
  <c r="L103" i="5" s="1"/>
  <c r="F103" i="5"/>
  <c r="V102" i="5"/>
  <c r="U102" i="5"/>
  <c r="O102" i="5"/>
  <c r="R102" i="5" s="1"/>
  <c r="I102" i="5"/>
  <c r="L102" i="5" s="1"/>
  <c r="F102" i="5"/>
  <c r="V101" i="5"/>
  <c r="U101" i="5"/>
  <c r="X101" i="5" s="1"/>
  <c r="O101" i="5"/>
  <c r="R101" i="5" s="1"/>
  <c r="I101" i="5"/>
  <c r="L101" i="5" s="1"/>
  <c r="F101" i="5"/>
  <c r="V100" i="5"/>
  <c r="U100" i="5"/>
  <c r="O100" i="5"/>
  <c r="R100" i="5" s="1"/>
  <c r="I100" i="5"/>
  <c r="L100" i="5" s="1"/>
  <c r="F100" i="5"/>
  <c r="V99" i="5"/>
  <c r="U99" i="5"/>
  <c r="X99" i="5" s="1"/>
  <c r="O99" i="5"/>
  <c r="R99" i="5" s="1"/>
  <c r="I99" i="5"/>
  <c r="L99" i="5" s="1"/>
  <c r="F99" i="5"/>
  <c r="V98" i="5"/>
  <c r="U98" i="5"/>
  <c r="O98" i="5"/>
  <c r="R98" i="5" s="1"/>
  <c r="I98" i="5"/>
  <c r="L98" i="5" s="1"/>
  <c r="F98" i="5"/>
  <c r="V97" i="5"/>
  <c r="U97" i="5"/>
  <c r="O97" i="5"/>
  <c r="R97" i="5" s="1"/>
  <c r="I97" i="5"/>
  <c r="L97" i="5" s="1"/>
  <c r="F97" i="5"/>
  <c r="V94" i="5"/>
  <c r="U94" i="5"/>
  <c r="X94" i="5" s="1"/>
  <c r="O94" i="5"/>
  <c r="R94" i="5" s="1"/>
  <c r="I94" i="5"/>
  <c r="L94" i="5" s="1"/>
  <c r="F94" i="5"/>
  <c r="V91" i="5"/>
  <c r="U91" i="5"/>
  <c r="O91" i="5"/>
  <c r="R91" i="5" s="1"/>
  <c r="I91" i="5"/>
  <c r="L91" i="5" s="1"/>
  <c r="F91" i="5"/>
  <c r="V87" i="5"/>
  <c r="U87" i="5"/>
  <c r="X87" i="5" s="1"/>
  <c r="O87" i="5"/>
  <c r="R87" i="5" s="1"/>
  <c r="I87" i="5"/>
  <c r="L87" i="5" s="1"/>
  <c r="F87" i="5"/>
  <c r="V85" i="5"/>
  <c r="U85" i="5"/>
  <c r="X85" i="5" s="1"/>
  <c r="O85" i="5"/>
  <c r="R85" i="5" s="1"/>
  <c r="I85" i="5"/>
  <c r="L85" i="5" s="1"/>
  <c r="F85" i="5"/>
  <c r="V84" i="5"/>
  <c r="U84" i="5"/>
  <c r="X84" i="5" s="1"/>
  <c r="O84" i="5"/>
  <c r="R84" i="5" s="1"/>
  <c r="I84" i="5"/>
  <c r="L84" i="5" s="1"/>
  <c r="F84" i="5"/>
  <c r="V83" i="5"/>
  <c r="U83" i="5"/>
  <c r="X83" i="5" s="1"/>
  <c r="O83" i="5"/>
  <c r="R83" i="5" s="1"/>
  <c r="I83" i="5"/>
  <c r="L83" i="5" s="1"/>
  <c r="F83" i="5"/>
  <c r="V81" i="5"/>
  <c r="U81" i="5"/>
  <c r="O81" i="5"/>
  <c r="R81" i="5" s="1"/>
  <c r="I81" i="5"/>
  <c r="L81" i="5" s="1"/>
  <c r="F81" i="5"/>
  <c r="V79" i="5"/>
  <c r="U79" i="5"/>
  <c r="X79" i="5" s="1"/>
  <c r="O79" i="5"/>
  <c r="R79" i="5" s="1"/>
  <c r="I79" i="5"/>
  <c r="L79" i="5" s="1"/>
  <c r="F79" i="5"/>
  <c r="V78" i="5"/>
  <c r="U78" i="5"/>
  <c r="O78" i="5"/>
  <c r="R78" i="5" s="1"/>
  <c r="I78" i="5"/>
  <c r="L78" i="5" s="1"/>
  <c r="F78" i="5"/>
  <c r="V77" i="5"/>
  <c r="U77" i="5"/>
  <c r="X77" i="5" s="1"/>
  <c r="O77" i="5"/>
  <c r="R77" i="5" s="1"/>
  <c r="I77" i="5"/>
  <c r="L77" i="5" s="1"/>
  <c r="F77" i="5"/>
  <c r="V76" i="5"/>
  <c r="U76" i="5"/>
  <c r="X76" i="5" s="1"/>
  <c r="O76" i="5"/>
  <c r="R76" i="5" s="1"/>
  <c r="I76" i="5"/>
  <c r="L76" i="5" s="1"/>
  <c r="F76" i="5"/>
  <c r="V75" i="5"/>
  <c r="U75" i="5"/>
  <c r="X75" i="5" s="1"/>
  <c r="O75" i="5"/>
  <c r="R75" i="5" s="1"/>
  <c r="I75" i="5"/>
  <c r="L75" i="5" s="1"/>
  <c r="F75" i="5"/>
  <c r="V74" i="5"/>
  <c r="U74" i="5"/>
  <c r="X74" i="5" s="1"/>
  <c r="O74" i="5"/>
  <c r="R74" i="5" s="1"/>
  <c r="I74" i="5"/>
  <c r="L74" i="5" s="1"/>
  <c r="F74" i="5"/>
  <c r="V73" i="5"/>
  <c r="U73" i="5"/>
  <c r="X73" i="5" s="1"/>
  <c r="O73" i="5"/>
  <c r="R73" i="5" s="1"/>
  <c r="I73" i="5"/>
  <c r="L73" i="5" s="1"/>
  <c r="F73" i="5"/>
  <c r="V71" i="5"/>
  <c r="U71" i="5"/>
  <c r="X71" i="5" s="1"/>
  <c r="O71" i="5"/>
  <c r="R71" i="5" s="1"/>
  <c r="I71" i="5"/>
  <c r="L71" i="5" s="1"/>
  <c r="F71" i="5"/>
  <c r="V70" i="5"/>
  <c r="U70" i="5"/>
  <c r="X70" i="5" s="1"/>
  <c r="O70" i="5"/>
  <c r="R70" i="5" s="1"/>
  <c r="I70" i="5"/>
  <c r="L70" i="5" s="1"/>
  <c r="F70" i="5"/>
  <c r="V69" i="5"/>
  <c r="U69" i="5"/>
  <c r="X69" i="5" s="1"/>
  <c r="O69" i="5"/>
  <c r="R69" i="5" s="1"/>
  <c r="I69" i="5"/>
  <c r="L69" i="5" s="1"/>
  <c r="F69" i="5"/>
  <c r="V68" i="5"/>
  <c r="U68" i="5"/>
  <c r="X68" i="5" s="1"/>
  <c r="O68" i="5"/>
  <c r="R68" i="5" s="1"/>
  <c r="I68" i="5"/>
  <c r="L68" i="5" s="1"/>
  <c r="F68" i="5"/>
  <c r="V67" i="5"/>
  <c r="U67" i="5"/>
  <c r="O67" i="5"/>
  <c r="R67" i="5" s="1"/>
  <c r="I67" i="5"/>
  <c r="L67" i="5" s="1"/>
  <c r="F67" i="5"/>
  <c r="V66" i="5"/>
  <c r="U66" i="5"/>
  <c r="X66" i="5" s="1"/>
  <c r="O66" i="5"/>
  <c r="R66" i="5" s="1"/>
  <c r="I66" i="5"/>
  <c r="L66" i="5" s="1"/>
  <c r="F66" i="5"/>
  <c r="V65" i="5"/>
  <c r="U65" i="5"/>
  <c r="O65" i="5"/>
  <c r="R65" i="5" s="1"/>
  <c r="I65" i="5"/>
  <c r="L65" i="5" s="1"/>
  <c r="F65" i="5"/>
  <c r="V64" i="5"/>
  <c r="U64" i="5"/>
  <c r="X64" i="5" s="1"/>
  <c r="O64" i="5"/>
  <c r="R64" i="5" s="1"/>
  <c r="I64" i="5"/>
  <c r="L64" i="5" s="1"/>
  <c r="F64" i="5"/>
  <c r="V63" i="5"/>
  <c r="U63" i="5"/>
  <c r="X63" i="5" s="1"/>
  <c r="O63" i="5"/>
  <c r="R63" i="5" s="1"/>
  <c r="I63" i="5"/>
  <c r="L63" i="5" s="1"/>
  <c r="F63" i="5"/>
  <c r="V61" i="5"/>
  <c r="U61" i="5"/>
  <c r="O61" i="5"/>
  <c r="R61" i="5" s="1"/>
  <c r="I61" i="5"/>
  <c r="L61" i="5" s="1"/>
  <c r="F61" i="5"/>
  <c r="V60" i="5"/>
  <c r="U60" i="5"/>
  <c r="X60" i="5" s="1"/>
  <c r="O60" i="5"/>
  <c r="R60" i="5" s="1"/>
  <c r="I60" i="5"/>
  <c r="L60" i="5" s="1"/>
  <c r="F60" i="5"/>
  <c r="V59" i="5"/>
  <c r="U59" i="5"/>
  <c r="O59" i="5"/>
  <c r="R59" i="5" s="1"/>
  <c r="I59" i="5"/>
  <c r="L59" i="5" s="1"/>
  <c r="F59" i="5"/>
  <c r="V58" i="5"/>
  <c r="U58" i="5"/>
  <c r="X58" i="5" s="1"/>
  <c r="O58" i="5"/>
  <c r="R58" i="5" s="1"/>
  <c r="I58" i="5"/>
  <c r="L58" i="5" s="1"/>
  <c r="F58" i="5"/>
  <c r="V57" i="5"/>
  <c r="U57" i="5"/>
  <c r="X57" i="5" s="1"/>
  <c r="O57" i="5"/>
  <c r="R57" i="5" s="1"/>
  <c r="I57" i="5"/>
  <c r="L57" i="5" s="1"/>
  <c r="F57" i="5"/>
  <c r="V56" i="5"/>
  <c r="U56" i="5"/>
  <c r="X56" i="5" s="1"/>
  <c r="O56" i="5"/>
  <c r="R56" i="5" s="1"/>
  <c r="I56" i="5"/>
  <c r="L56" i="5" s="1"/>
  <c r="F56" i="5"/>
  <c r="V54" i="5"/>
  <c r="U54" i="5"/>
  <c r="X54" i="5" s="1"/>
  <c r="O54" i="5"/>
  <c r="R54" i="5" s="1"/>
  <c r="I54" i="5"/>
  <c r="L54" i="5" s="1"/>
  <c r="F54" i="5"/>
  <c r="V53" i="5"/>
  <c r="U53" i="5"/>
  <c r="X53" i="5" s="1"/>
  <c r="O53" i="5"/>
  <c r="R53" i="5" s="1"/>
  <c r="I53" i="5"/>
  <c r="L53" i="5" s="1"/>
  <c r="F53" i="5"/>
  <c r="V52" i="5"/>
  <c r="U52" i="5"/>
  <c r="X52" i="5" s="1"/>
  <c r="O52" i="5"/>
  <c r="R52" i="5" s="1"/>
  <c r="I52" i="5"/>
  <c r="L52" i="5" s="1"/>
  <c r="F52" i="5"/>
  <c r="V51" i="5"/>
  <c r="U51" i="5"/>
  <c r="X51" i="5" s="1"/>
  <c r="O51" i="5"/>
  <c r="R51" i="5" s="1"/>
  <c r="I51" i="5"/>
  <c r="L51" i="5" s="1"/>
  <c r="F51" i="5"/>
  <c r="V50" i="5"/>
  <c r="U50" i="5"/>
  <c r="X50" i="5" s="1"/>
  <c r="O50" i="5"/>
  <c r="R50" i="5" s="1"/>
  <c r="I50" i="5"/>
  <c r="L50" i="5" s="1"/>
  <c r="F50" i="5"/>
  <c r="V48" i="5"/>
  <c r="U48" i="5"/>
  <c r="X48" i="5" s="1"/>
  <c r="O48" i="5"/>
  <c r="R48" i="5" s="1"/>
  <c r="I48" i="5"/>
  <c r="L48" i="5" s="1"/>
  <c r="F48" i="5"/>
  <c r="V46" i="5"/>
  <c r="U46" i="5"/>
  <c r="X46" i="5" s="1"/>
  <c r="O46" i="5"/>
  <c r="R46" i="5" s="1"/>
  <c r="I46" i="5"/>
  <c r="L46" i="5" s="1"/>
  <c r="F46" i="5"/>
  <c r="V45" i="5"/>
  <c r="U45" i="5"/>
  <c r="X45" i="5" s="1"/>
  <c r="O45" i="5"/>
  <c r="R45" i="5" s="1"/>
  <c r="I45" i="5"/>
  <c r="L45" i="5" s="1"/>
  <c r="F45" i="5"/>
  <c r="V44" i="5"/>
  <c r="U44" i="5"/>
  <c r="X44" i="5" s="1"/>
  <c r="O44" i="5"/>
  <c r="R44" i="5" s="1"/>
  <c r="I44" i="5"/>
  <c r="L44" i="5" s="1"/>
  <c r="F44" i="5"/>
  <c r="V43" i="5"/>
  <c r="U43" i="5"/>
  <c r="X43" i="5" s="1"/>
  <c r="O43" i="5"/>
  <c r="R43" i="5" s="1"/>
  <c r="I43" i="5"/>
  <c r="L43" i="5" s="1"/>
  <c r="F43" i="5"/>
  <c r="V39" i="5"/>
  <c r="U39" i="5"/>
  <c r="X39" i="5" s="1"/>
  <c r="O39" i="5"/>
  <c r="R39" i="5" s="1"/>
  <c r="I39" i="5"/>
  <c r="L39" i="5" s="1"/>
  <c r="F39" i="5"/>
  <c r="V38" i="5"/>
  <c r="U38" i="5"/>
  <c r="X38" i="5" s="1"/>
  <c r="O38" i="5"/>
  <c r="R38" i="5" s="1"/>
  <c r="I38" i="5"/>
  <c r="L38" i="5" s="1"/>
  <c r="F38" i="5"/>
  <c r="V37" i="5"/>
  <c r="U37" i="5"/>
  <c r="X37" i="5" s="1"/>
  <c r="O37" i="5"/>
  <c r="R37" i="5" s="1"/>
  <c r="I37" i="5"/>
  <c r="L37" i="5" s="1"/>
  <c r="F37" i="5"/>
  <c r="V36" i="5"/>
  <c r="U36" i="5"/>
  <c r="O36" i="5"/>
  <c r="R36" i="5" s="1"/>
  <c r="I36" i="5"/>
  <c r="L36" i="5" s="1"/>
  <c r="F36" i="5"/>
  <c r="V33" i="5"/>
  <c r="U33" i="5"/>
  <c r="X33" i="5" s="1"/>
  <c r="O33" i="5"/>
  <c r="R33" i="5" s="1"/>
  <c r="I33" i="5"/>
  <c r="L33" i="5" s="1"/>
  <c r="F33" i="5"/>
  <c r="V32" i="5"/>
  <c r="U32" i="5"/>
  <c r="O32" i="5"/>
  <c r="R32" i="5" s="1"/>
  <c r="I32" i="5"/>
  <c r="L32" i="5" s="1"/>
  <c r="F32" i="5"/>
  <c r="V31" i="5"/>
  <c r="U31" i="5"/>
  <c r="X31" i="5" s="1"/>
  <c r="O31" i="5"/>
  <c r="R31" i="5" s="1"/>
  <c r="I31" i="5"/>
  <c r="L31" i="5" s="1"/>
  <c r="F31" i="5"/>
  <c r="V30" i="5"/>
  <c r="U30" i="5"/>
  <c r="X30" i="5" s="1"/>
  <c r="O30" i="5"/>
  <c r="R30" i="5" s="1"/>
  <c r="I30" i="5"/>
  <c r="L30" i="5" s="1"/>
  <c r="F30" i="5"/>
  <c r="V29" i="5"/>
  <c r="U29" i="5"/>
  <c r="X29" i="5" s="1"/>
  <c r="O29" i="5"/>
  <c r="R29" i="5" s="1"/>
  <c r="I29" i="5"/>
  <c r="L29" i="5" s="1"/>
  <c r="F29" i="5"/>
  <c r="V28" i="5"/>
  <c r="U28" i="5"/>
  <c r="X28" i="5" s="1"/>
  <c r="O28" i="5"/>
  <c r="R28" i="5" s="1"/>
  <c r="I28" i="5"/>
  <c r="L28" i="5" s="1"/>
  <c r="F28" i="5"/>
  <c r="V27" i="5"/>
  <c r="U27" i="5"/>
  <c r="X27" i="5" s="1"/>
  <c r="O27" i="5"/>
  <c r="R27" i="5" s="1"/>
  <c r="I27" i="5"/>
  <c r="L27" i="5" s="1"/>
  <c r="F27" i="5"/>
  <c r="V26" i="5"/>
  <c r="U26" i="5"/>
  <c r="O26" i="5"/>
  <c r="R26" i="5" s="1"/>
  <c r="I26" i="5"/>
  <c r="L26" i="5" s="1"/>
  <c r="F26" i="5"/>
  <c r="V24" i="5"/>
  <c r="U24" i="5"/>
  <c r="X24" i="5" s="1"/>
  <c r="O24" i="5"/>
  <c r="I24" i="5"/>
  <c r="L24" i="5" s="1"/>
  <c r="F24" i="5"/>
  <c r="V23" i="5"/>
  <c r="U23" i="5"/>
  <c r="O23" i="5"/>
  <c r="R23" i="5" s="1"/>
  <c r="I23" i="5"/>
  <c r="L23" i="5" s="1"/>
  <c r="F23" i="5"/>
  <c r="V22" i="5"/>
  <c r="U22" i="5"/>
  <c r="X22" i="5" s="1"/>
  <c r="O22" i="5"/>
  <c r="R22" i="5" s="1"/>
  <c r="I22" i="5"/>
  <c r="L22" i="5" s="1"/>
  <c r="F22" i="5"/>
  <c r="V21" i="5"/>
  <c r="U21" i="5"/>
  <c r="O21" i="5"/>
  <c r="R21" i="5" s="1"/>
  <c r="I21" i="5"/>
  <c r="L21" i="5" s="1"/>
  <c r="F21" i="5"/>
  <c r="V20" i="5"/>
  <c r="U20" i="5"/>
  <c r="X20" i="5" s="1"/>
  <c r="O20" i="5"/>
  <c r="R20" i="5" s="1"/>
  <c r="I20" i="5"/>
  <c r="L20" i="5" s="1"/>
  <c r="F20" i="5"/>
  <c r="V19" i="5"/>
  <c r="U19" i="5"/>
  <c r="O19" i="5"/>
  <c r="R19" i="5" s="1"/>
  <c r="I19" i="5"/>
  <c r="L19" i="5" s="1"/>
  <c r="F19" i="5"/>
  <c r="V18" i="5"/>
  <c r="U18" i="5"/>
  <c r="X18" i="5" s="1"/>
  <c r="O18" i="5"/>
  <c r="R18" i="5" s="1"/>
  <c r="I18" i="5"/>
  <c r="L18" i="5" s="1"/>
  <c r="F18" i="5"/>
  <c r="V16" i="5"/>
  <c r="U16" i="5"/>
  <c r="X16" i="5" s="1"/>
  <c r="O16" i="5"/>
  <c r="R16" i="5" s="1"/>
  <c r="I16" i="5"/>
  <c r="L16" i="5" s="1"/>
  <c r="F16" i="5"/>
  <c r="V15" i="5"/>
  <c r="U15" i="5"/>
  <c r="X15" i="5" s="1"/>
  <c r="O15" i="5"/>
  <c r="R15" i="5" s="1"/>
  <c r="I15" i="5"/>
  <c r="L15" i="5" s="1"/>
  <c r="F15" i="5"/>
  <c r="V14" i="5"/>
  <c r="U14" i="5"/>
  <c r="X14" i="5" s="1"/>
  <c r="O14" i="5"/>
  <c r="R14" i="5" s="1"/>
  <c r="I14" i="5"/>
  <c r="L14" i="5" s="1"/>
  <c r="F14" i="5"/>
  <c r="V13" i="5"/>
  <c r="U13" i="5"/>
  <c r="O13" i="5"/>
  <c r="R13" i="5" s="1"/>
  <c r="I13" i="5"/>
  <c r="L13" i="5" s="1"/>
  <c r="F13" i="5"/>
  <c r="V12" i="5"/>
  <c r="U12" i="5"/>
  <c r="X12" i="5" s="1"/>
  <c r="O12" i="5"/>
  <c r="R12" i="5" s="1"/>
  <c r="I12" i="5"/>
  <c r="L12" i="5" s="1"/>
  <c r="F12" i="5"/>
  <c r="V11" i="5"/>
  <c r="U11" i="5"/>
  <c r="X11" i="5" s="1"/>
  <c r="O11" i="5"/>
  <c r="R11" i="5" s="1"/>
  <c r="I11" i="5"/>
  <c r="L11" i="5" s="1"/>
  <c r="F11" i="5"/>
  <c r="V9" i="5"/>
  <c r="U9" i="5"/>
  <c r="X9" i="5" s="1"/>
  <c r="O9" i="5"/>
  <c r="R9" i="5" s="1"/>
  <c r="I9" i="5"/>
  <c r="L9" i="5" s="1"/>
  <c r="F9" i="5"/>
  <c r="V8" i="5"/>
  <c r="U8" i="5"/>
  <c r="X8" i="5" s="1"/>
  <c r="O8" i="5"/>
  <c r="R8" i="5" s="1"/>
  <c r="I8" i="5"/>
  <c r="L8" i="5" s="1"/>
  <c r="F8" i="5"/>
  <c r="V7" i="5"/>
  <c r="U7" i="5"/>
  <c r="X7" i="5" s="1"/>
  <c r="O7" i="5"/>
  <c r="R7" i="5" s="1"/>
  <c r="I7" i="5"/>
  <c r="L7" i="5" s="1"/>
  <c r="F7" i="5"/>
  <c r="V6" i="5"/>
  <c r="U6" i="5"/>
  <c r="X6" i="5" s="1"/>
  <c r="O6" i="5"/>
  <c r="R6" i="5" s="1"/>
  <c r="I6" i="5"/>
  <c r="L6" i="5" s="1"/>
  <c r="F6" i="5"/>
  <c r="V5" i="5"/>
  <c r="U5" i="5"/>
  <c r="X5" i="5" s="1"/>
  <c r="O5" i="5"/>
  <c r="R5" i="5" s="1"/>
  <c r="I5" i="5"/>
  <c r="L5" i="5" s="1"/>
  <c r="F5" i="5"/>
  <c r="V4" i="5"/>
  <c r="U4" i="5"/>
  <c r="X4" i="5" s="1"/>
  <c r="O4" i="5"/>
  <c r="R4" i="5" s="1"/>
  <c r="I4" i="5"/>
  <c r="L4" i="5" s="1"/>
  <c r="F4" i="5"/>
  <c r="V3" i="5"/>
  <c r="U3" i="5"/>
  <c r="X3" i="5" s="1"/>
  <c r="O3" i="5"/>
  <c r="R3" i="5" s="1"/>
  <c r="I3" i="5"/>
  <c r="L3" i="5" s="1"/>
  <c r="F3" i="5"/>
</calcChain>
</file>

<file path=xl/sharedStrings.xml><?xml version="1.0" encoding="utf-8"?>
<sst xmlns="http://schemas.openxmlformats.org/spreadsheetml/2006/main" count="215" uniqueCount="211">
  <si>
    <t>ADAM Adoulayi</t>
  </si>
  <si>
    <t>Adam aïssatou</t>
  </si>
  <si>
    <t>ADAM Amadou</t>
  </si>
  <si>
    <t>ADAM Hamadou</t>
  </si>
  <si>
    <t>ADAM Idirissa</t>
  </si>
  <si>
    <t>ADAM IDIRISSA</t>
  </si>
  <si>
    <t>ADAM Mamoudou</t>
  </si>
  <si>
    <t>ADAM Soumanou</t>
  </si>
  <si>
    <t>ADAM Yacoubou</t>
  </si>
  <si>
    <t>ADAM Younoussa</t>
  </si>
  <si>
    <t>ADAM ZAKARI</t>
  </si>
  <si>
    <t>ADAMOU Youssoufa</t>
  </si>
  <si>
    <t>ALASSANE BOUBAKar</t>
  </si>
  <si>
    <t>Alassane moussa</t>
  </si>
  <si>
    <t>Alassane oumarou</t>
  </si>
  <si>
    <t>ALASSANE Soulé</t>
  </si>
  <si>
    <t>ALSSANE Bouraima</t>
  </si>
  <si>
    <t>Amadou Gambo</t>
  </si>
  <si>
    <t>AMADOU Oumarou</t>
  </si>
  <si>
    <t>BANI AMADOU</t>
  </si>
  <si>
    <t>BIO Adroumouni</t>
  </si>
  <si>
    <t>BIO Amadou</t>
  </si>
  <si>
    <t>BIO Bani</t>
  </si>
  <si>
    <t>BIO Mohama</t>
  </si>
  <si>
    <t>BIO moussa</t>
  </si>
  <si>
    <t>BIO Saidou</t>
  </si>
  <si>
    <t>BOUBAKAR Abassi</t>
  </si>
  <si>
    <t>BOUBAKAR Adoulayi</t>
  </si>
  <si>
    <t>BOUBAKAR Mamoudou</t>
  </si>
  <si>
    <t>BOUBAKAR Oumarou</t>
  </si>
  <si>
    <t>BOUBAKAR Salifou</t>
  </si>
  <si>
    <t>BOUBAKAR Sayawo</t>
  </si>
  <si>
    <t>BOURAIMA Moussa</t>
  </si>
  <si>
    <t>BOURAIMA youssoufa</t>
  </si>
  <si>
    <t>DAOUDA Inoussa</t>
  </si>
  <si>
    <t>DEMO Orou maré</t>
  </si>
  <si>
    <t>DOTA Samo</t>
  </si>
  <si>
    <t>GERA Karimou</t>
  </si>
  <si>
    <t>HAMADOU Adam</t>
  </si>
  <si>
    <t>Hamadou Alou</t>
  </si>
  <si>
    <t>HAMADOU Bouraima</t>
  </si>
  <si>
    <t>HAMADOU Issa</t>
  </si>
  <si>
    <t>HAMADOU OUMarou</t>
  </si>
  <si>
    <t>HAMADOU Salifou</t>
  </si>
  <si>
    <t>HAMADOU Soumaila</t>
  </si>
  <si>
    <t>HAMADOU Soumanou</t>
  </si>
  <si>
    <t>HASSANE Abou</t>
  </si>
  <si>
    <t>HASSANE Moukaela</t>
  </si>
  <si>
    <t>IDIRISSOU Alou</t>
  </si>
  <si>
    <t>IDRISSOU Djibril</t>
  </si>
  <si>
    <t>IMOROU Massaoudou</t>
  </si>
  <si>
    <t>IMOROU Sahadou</t>
  </si>
  <si>
    <t>IMOROU Salifou</t>
  </si>
  <si>
    <t>IMOROU Somanou</t>
  </si>
  <si>
    <t>IMOROU Soulé</t>
  </si>
  <si>
    <t>IMOROU Yacoubou</t>
  </si>
  <si>
    <t>ISSIFOU Ibourahimou</t>
  </si>
  <si>
    <t>KENOU Karimou</t>
  </si>
  <si>
    <t>KOURI Jalli</t>
  </si>
  <si>
    <t>KOURI Samo</t>
  </si>
  <si>
    <t>MAITICOU Hamadou</t>
  </si>
  <si>
    <t>MAMOUDOU Boubakar</t>
  </si>
  <si>
    <t>MAMOUDOU Soulé</t>
  </si>
  <si>
    <t>MAUNE Bani</t>
  </si>
  <si>
    <t>MAUNE Mamoudou</t>
  </si>
  <si>
    <t>MOUSSA Mamoudou</t>
  </si>
  <si>
    <t>MOUSSA Mohama</t>
  </si>
  <si>
    <t>MOUSSA Salifou</t>
  </si>
  <si>
    <t>OROU Adama</t>
  </si>
  <si>
    <t>OUMAROU Nouroudine</t>
  </si>
  <si>
    <t>SANI Abou</t>
  </si>
  <si>
    <t>Soule mama</t>
  </si>
  <si>
    <t>SOULE Saidou</t>
  </si>
  <si>
    <t>SOUMAILA Azizou</t>
  </si>
  <si>
    <t>SOUMAILA Zakari</t>
  </si>
  <si>
    <t>SOUMANOU Binadouro</t>
  </si>
  <si>
    <t>SOUMANOU Harouna</t>
  </si>
  <si>
    <t>SOUMANOU Moalimou</t>
  </si>
  <si>
    <t>YACOUBOU Hamidou</t>
  </si>
  <si>
    <t>Yacoubou younoussa</t>
  </si>
  <si>
    <t>Yarou Gounou</t>
  </si>
  <si>
    <t>Superficie_2023</t>
  </si>
  <si>
    <t>Production_2023</t>
  </si>
  <si>
    <t>Valeur_Production_2023</t>
  </si>
  <si>
    <t>Dette_Intrant_2023</t>
  </si>
  <si>
    <t>Superficie_2022</t>
  </si>
  <si>
    <t>Production_2022</t>
  </si>
  <si>
    <t>Valeur_Production_2022</t>
  </si>
  <si>
    <t>Dette_Intrants_2022</t>
  </si>
  <si>
    <t>Superficie_2024</t>
  </si>
  <si>
    <t>Production_2024</t>
  </si>
  <si>
    <t>Valeur_Production_2024</t>
  </si>
  <si>
    <t>Dette_Intrants_2024</t>
  </si>
  <si>
    <t>Adam oumarou</t>
  </si>
  <si>
    <t>BOUKARI Nouhou</t>
  </si>
  <si>
    <t>BOURAIM Tairou</t>
  </si>
  <si>
    <t>IDIRISSA Faissa</t>
  </si>
  <si>
    <t>Jibilila Sabi</t>
  </si>
  <si>
    <t>MOHAMADOU Jibilila</t>
  </si>
  <si>
    <t>Orou DEROU Zakari</t>
  </si>
  <si>
    <t>OUMAROU Mohamadou</t>
  </si>
  <si>
    <t>SEDOU Aboulayi</t>
  </si>
  <si>
    <t>WASSOU Bio</t>
  </si>
  <si>
    <t>Abibou mohama</t>
  </si>
  <si>
    <t>ALASSANE Mohama</t>
  </si>
  <si>
    <t>BIO Adam</t>
  </si>
  <si>
    <t>BOUBAKAR Djodi</t>
  </si>
  <si>
    <t>BOUBAKAR Harouna</t>
  </si>
  <si>
    <t>BOUKARI Creti</t>
  </si>
  <si>
    <t>DJOBO Samo</t>
  </si>
  <si>
    <t>GANI Adou</t>
  </si>
  <si>
    <t>HAMADOU Issifou</t>
  </si>
  <si>
    <t>MAUNE Démo</t>
  </si>
  <si>
    <t>NAKARE Moctar</t>
  </si>
  <si>
    <t>Oumarou Biba</t>
  </si>
  <si>
    <t>SABI Yerma</t>
  </si>
  <si>
    <t>SAMO Mohama</t>
  </si>
  <si>
    <t>SANI Adam</t>
  </si>
  <si>
    <t>SOUMANOU Oumarou</t>
  </si>
  <si>
    <t>WOROU Hamadou</t>
  </si>
  <si>
    <t>Yarou Mamoudou</t>
  </si>
  <si>
    <t>YASSARI Démo</t>
  </si>
  <si>
    <t>BIO BOUBA</t>
  </si>
  <si>
    <t>MAUNE Demo</t>
  </si>
  <si>
    <t>SAIDOU Bourayi</t>
  </si>
  <si>
    <t>ADAM Bio</t>
  </si>
  <si>
    <t>ALOU Bassarou</t>
  </si>
  <si>
    <t>AMADOU Alou</t>
  </si>
  <si>
    <t>AMADOU Mounirou</t>
  </si>
  <si>
    <t>BOUBA Adoulayi</t>
  </si>
  <si>
    <t>BOUBA Macha</t>
  </si>
  <si>
    <t>GANI Hassane</t>
  </si>
  <si>
    <t>HAMADOU Harouna</t>
  </si>
  <si>
    <t>JOBO Samo</t>
  </si>
  <si>
    <t>MAMOUDOU Amadou</t>
  </si>
  <si>
    <t>MOUSSA Moussitafa</t>
  </si>
  <si>
    <t>NAPARO Machou</t>
  </si>
  <si>
    <t>OUMAROU Yacoubou</t>
  </si>
  <si>
    <t>SAIDOU Amadou</t>
  </si>
  <si>
    <t>SOUMANOU Bassirou</t>
  </si>
  <si>
    <t>SOUMANOU Boubakar</t>
  </si>
  <si>
    <t>ADAM Djija</t>
  </si>
  <si>
    <t>ADOU Sadati</t>
  </si>
  <si>
    <t>Adoulayi Moukoutarou</t>
  </si>
  <si>
    <t>ALOU Adam</t>
  </si>
  <si>
    <t>ALOU AMADOU</t>
  </si>
  <si>
    <t>ALOU Bio</t>
  </si>
  <si>
    <t>ALOU ISSA</t>
  </si>
  <si>
    <t>AMADOU Mohama</t>
  </si>
  <si>
    <t>AMADOU Souwaybou</t>
  </si>
  <si>
    <t>ASSOUMA Salifou</t>
  </si>
  <si>
    <t>BATA demo</t>
  </si>
  <si>
    <t>BINAN Idirissou</t>
  </si>
  <si>
    <t>BIO faroukou</t>
  </si>
  <si>
    <t>BOUBA Issiyaka</t>
  </si>
  <si>
    <t>BOUBAKAR Gorojodi</t>
  </si>
  <si>
    <t>BOUKA Saidou</t>
  </si>
  <si>
    <t>BOUKARI Ayouba</t>
  </si>
  <si>
    <t>BOUYAGUI Moalim</t>
  </si>
  <si>
    <t>DAOUDA Idirissa</t>
  </si>
  <si>
    <t>GANI Maré</t>
  </si>
  <si>
    <t>Genkou Demo</t>
  </si>
  <si>
    <t>GOUNOU Mounirou</t>
  </si>
  <si>
    <t>HAMADOU Bilali</t>
  </si>
  <si>
    <t>HAMADOU Hamidou</t>
  </si>
  <si>
    <t>HAMIDOU Sahabi</t>
  </si>
  <si>
    <t>HAROUNA Alatou</t>
  </si>
  <si>
    <t>ISSIFOU Moussa</t>
  </si>
  <si>
    <t>KOTO Yacoubou</t>
  </si>
  <si>
    <t>MAMOUDOU Biyo</t>
  </si>
  <si>
    <t>Mamoudou Seni</t>
  </si>
  <si>
    <t>MOUSSA mohamadou</t>
  </si>
  <si>
    <t>MOUSSA Nassirou</t>
  </si>
  <si>
    <t>OROU BANI Abou</t>
  </si>
  <si>
    <t>OUMAROU Mohama</t>
  </si>
  <si>
    <t>OUMAROU Mola</t>
  </si>
  <si>
    <t>OUMAROU Soulé</t>
  </si>
  <si>
    <t>SALIFOU Moukoutarou</t>
  </si>
  <si>
    <t>SALIFOU Moussa</t>
  </si>
  <si>
    <t>SANI Soumanou</t>
  </si>
  <si>
    <t>SOULE Moumini</t>
  </si>
  <si>
    <t>SOUMAILA Janfarou</t>
  </si>
  <si>
    <t>WOROU Kouré Adam</t>
  </si>
  <si>
    <t>Yacoubou Mohama</t>
  </si>
  <si>
    <t>Youssoufa Nassirou</t>
  </si>
  <si>
    <t>ALOU Gorobado</t>
  </si>
  <si>
    <t>GENKOU Matchou</t>
  </si>
  <si>
    <t>HAROUNA Ayouba</t>
  </si>
  <si>
    <t>MAMOUDOU Sabi Yerma</t>
  </si>
  <si>
    <t>MOUSSE Moussa</t>
  </si>
  <si>
    <t>OROU Hamadou</t>
  </si>
  <si>
    <t>OUMAROU Loukoumanou</t>
  </si>
  <si>
    <t>SOUMAIL biba</t>
  </si>
  <si>
    <t>TAMOU Sika salé</t>
  </si>
  <si>
    <t>YAROU Soumanou</t>
  </si>
  <si>
    <t>Présent_2022</t>
  </si>
  <si>
    <t>Présent_2023</t>
  </si>
  <si>
    <t>Présent_2024</t>
  </si>
  <si>
    <t>Répétition</t>
  </si>
  <si>
    <t>Numéro_Individu</t>
  </si>
  <si>
    <t>Individu</t>
  </si>
  <si>
    <t>Rendement_apparent_2022</t>
  </si>
  <si>
    <t>Rendement_apparent_2023</t>
  </si>
  <si>
    <t>Rendement_apparent_2024</t>
  </si>
  <si>
    <t>Indice_Performance_2024</t>
  </si>
  <si>
    <t>Indice_Performance_2022</t>
  </si>
  <si>
    <t>Indice_Performance_2023</t>
  </si>
  <si>
    <t>Moyenne_Indice_Performance</t>
  </si>
  <si>
    <t>1- On cherche à sélectionner les meilleurs producteurs de coton par coopérative à partir du rendement moyen, la moyenne des indices de performances et le coefficient de variation du rendement (pour apprécier la capacité des agriculteurs à maintenir le rendement : la stabilité du rendement) sur trois ans. La finalité est de sélectionner les exploitations performantes et stables.</t>
  </si>
  <si>
    <t>2- Faire une classification ascendante hiérarchique sur l’ensemble de l’échantillon de producteurs (année par année ou sur les trois ans? A définir…)</t>
  </si>
  <si>
    <t>3- Comparer les meilleurs producteurs par rapport à la classification réalisée sur l’ensemble de l’échantillon de producteurs : identifier le groupe de producteurs auquel appartiennent les meilleirs producteurs sélectionner en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</si>
</sst>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0" fontId="2" fillId="2" borderId="1" xfId="0" applyFont="1" applyFill="1" applyBorder="1" applyAlignment="1">
      <alignment horizontal="center"/>
    </xf>
    <xf numFmtId="0" fontId="1" fillId="0" borderId="0" xfId="0" applyFont="1"/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4" fontId="7" fillId="5" borderId="1" xfId="0" applyNumberFormat="1" applyFont="1" applyFill="1" applyBorder="1" applyAlignment="1">
      <alignment horizontal="center"/>
    </xf>
    <xf numFmtId="0" fontId="6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0" fontId="8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D7CCA-0055-4606-92EB-38F9CE0B66B2}">
  <dimension ref="A1:Y188"/>
  <sheetViews>
    <sheetView tabSelected="1" workbookViewId="0">
      <selection activeCell="A2" sqref="A2"/>
    </sheetView>
  </sheetViews>
  <sheetFormatPr baseColWidth="10" defaultColWidth="11.5" defaultRowHeight="15" x14ac:dyDescent="0.2"/>
  <cols>
    <col min="1" max="1" width="21.5" bestFit="1" customWidth="1"/>
    <col min="2" max="2" width="25.1640625" bestFit="1" customWidth="1"/>
    <col min="3" max="5" width="18.1640625" bestFit="1" customWidth="1"/>
    <col min="6" max="6" width="15" bestFit="1" customWidth="1"/>
    <col min="7" max="7" width="20.5" bestFit="1" customWidth="1"/>
    <col min="8" max="8" width="21.33203125" bestFit="1" customWidth="1"/>
    <col min="9" max="9" width="31.5" bestFit="1" customWidth="1"/>
    <col min="10" max="10" width="28.6640625" bestFit="1" customWidth="1"/>
    <col min="11" max="11" width="25" bestFit="1" customWidth="1"/>
    <col min="12" max="12" width="30.1640625" style="5" bestFit="1" customWidth="1"/>
    <col min="13" max="13" width="20.5" customWidth="1"/>
    <col min="14" max="14" width="21.33203125" customWidth="1"/>
    <col min="15" max="15" width="31.5" customWidth="1"/>
    <col min="16" max="16" width="28.6640625" customWidth="1"/>
    <col min="17" max="17" width="24.1640625" customWidth="1"/>
    <col min="18" max="18" width="30.1640625" style="5" bestFit="1" customWidth="1"/>
    <col min="19" max="19" width="20.5" customWidth="1"/>
    <col min="20" max="20" width="21.33203125" customWidth="1"/>
    <col min="21" max="21" width="31.5" customWidth="1"/>
    <col min="22" max="22" width="28.6640625" customWidth="1"/>
    <col min="23" max="23" width="25" customWidth="1"/>
    <col min="24" max="24" width="30.1640625" style="5" bestFit="1" customWidth="1"/>
    <col min="25" max="25" width="34.5" style="25" bestFit="1" customWidth="1"/>
  </cols>
  <sheetData>
    <row r="1" spans="1:25" ht="16" x14ac:dyDescent="0.2">
      <c r="A1" s="2" t="s">
        <v>199</v>
      </c>
      <c r="B1" s="1" t="s">
        <v>200</v>
      </c>
      <c r="C1" s="2" t="s">
        <v>195</v>
      </c>
      <c r="D1" s="2" t="s">
        <v>196</v>
      </c>
      <c r="E1" s="2" t="s">
        <v>197</v>
      </c>
      <c r="F1" s="6" t="s">
        <v>198</v>
      </c>
      <c r="G1" s="16" t="s">
        <v>85</v>
      </c>
      <c r="H1" s="16" t="s">
        <v>86</v>
      </c>
      <c r="I1" s="17" t="s">
        <v>201</v>
      </c>
      <c r="J1" s="16" t="s">
        <v>87</v>
      </c>
      <c r="K1" s="16" t="s">
        <v>88</v>
      </c>
      <c r="L1" s="17" t="s">
        <v>205</v>
      </c>
      <c r="M1" s="4" t="s">
        <v>81</v>
      </c>
      <c r="N1" s="4" t="s">
        <v>82</v>
      </c>
      <c r="O1" s="10" t="s">
        <v>202</v>
      </c>
      <c r="P1" s="4" t="s">
        <v>83</v>
      </c>
      <c r="Q1" s="4" t="s">
        <v>84</v>
      </c>
      <c r="R1" s="10" t="s">
        <v>206</v>
      </c>
      <c r="S1" s="12" t="s">
        <v>89</v>
      </c>
      <c r="T1" s="12" t="s">
        <v>90</v>
      </c>
      <c r="U1" s="13" t="s">
        <v>203</v>
      </c>
      <c r="V1" s="12" t="s">
        <v>91</v>
      </c>
      <c r="W1" s="12" t="s">
        <v>92</v>
      </c>
      <c r="X1" s="13" t="s">
        <v>204</v>
      </c>
      <c r="Y1" s="23" t="s">
        <v>207</v>
      </c>
    </row>
    <row r="2" spans="1:25" ht="16" x14ac:dyDescent="0.2">
      <c r="A2" s="8">
        <v>1</v>
      </c>
      <c r="B2" s="3" t="s">
        <v>103</v>
      </c>
      <c r="C2" s="8">
        <v>1</v>
      </c>
      <c r="D2" s="8">
        <v>0</v>
      </c>
      <c r="E2" s="8">
        <v>0</v>
      </c>
      <c r="F2" s="7">
        <f t="shared" ref="F2:F33" si="0">C2+D2+E2</f>
        <v>1</v>
      </c>
      <c r="G2" s="18">
        <v>1</v>
      </c>
      <c r="H2" s="18">
        <v>467</v>
      </c>
      <c r="I2" s="19">
        <f t="shared" ref="I2:I33" si="1">H2/G2</f>
        <v>467</v>
      </c>
      <c r="J2" s="18">
        <v>140100</v>
      </c>
      <c r="K2" s="18">
        <v>161022</v>
      </c>
      <c r="L2" s="20">
        <f t="shared" ref="L2:L33" si="2">I2/724</f>
        <v>0.64502762430939231</v>
      </c>
      <c r="M2" s="11"/>
      <c r="N2" s="11"/>
      <c r="O2" s="9"/>
      <c r="P2" s="11"/>
      <c r="Q2" s="11"/>
      <c r="R2" s="21"/>
      <c r="S2" s="14"/>
      <c r="T2" s="14"/>
      <c r="U2" s="15"/>
      <c r="V2" s="14"/>
      <c r="W2" s="14"/>
      <c r="X2" s="22"/>
      <c r="Y2" s="24">
        <f>AVERAGE(L2,R2,X2)</f>
        <v>0.64502762430939231</v>
      </c>
    </row>
    <row r="3" spans="1:25" ht="16" x14ac:dyDescent="0.2">
      <c r="A3" s="8">
        <v>2</v>
      </c>
      <c r="B3" s="3" t="s">
        <v>0</v>
      </c>
      <c r="C3" s="8">
        <v>1</v>
      </c>
      <c r="D3" s="8">
        <v>1</v>
      </c>
      <c r="E3" s="8">
        <v>1</v>
      </c>
      <c r="F3" s="7">
        <f t="shared" si="0"/>
        <v>3</v>
      </c>
      <c r="G3" s="18">
        <v>1</v>
      </c>
      <c r="H3" s="18">
        <v>423</v>
      </c>
      <c r="I3" s="19">
        <f t="shared" si="1"/>
        <v>423</v>
      </c>
      <c r="J3" s="18">
        <v>126900</v>
      </c>
      <c r="K3" s="18">
        <v>199522</v>
      </c>
      <c r="L3" s="20">
        <f t="shared" si="2"/>
        <v>0.58425414364640882</v>
      </c>
      <c r="M3" s="11">
        <v>1</v>
      </c>
      <c r="N3" s="11">
        <v>419</v>
      </c>
      <c r="O3" s="9">
        <f t="shared" ref="O3:O16" si="3">N3/M3</f>
        <v>419</v>
      </c>
      <c r="P3" s="11">
        <v>125700</v>
      </c>
      <c r="Q3" s="11">
        <v>296768</v>
      </c>
      <c r="R3" s="21">
        <f t="shared" ref="R3:R66" si="4">O3/810</f>
        <v>0.51728395061728394</v>
      </c>
      <c r="S3" s="14">
        <v>2</v>
      </c>
      <c r="T3" s="14">
        <v>1113</v>
      </c>
      <c r="U3" s="15">
        <f t="shared" ref="U3:U9" si="5">T3/S3</f>
        <v>556.5</v>
      </c>
      <c r="V3" s="14">
        <f t="shared" ref="V3:V9" si="6">T3*300</f>
        <v>333900</v>
      </c>
      <c r="W3" s="14">
        <v>388861</v>
      </c>
      <c r="X3" s="15">
        <f t="shared" ref="X3:X66" si="7">U3/811</f>
        <v>0.68618988902589395</v>
      </c>
      <c r="Y3" s="24">
        <f t="shared" ref="Y3:Y66" si="8">AVERAGE(L3,R3,X3)</f>
        <v>0.59590932776319561</v>
      </c>
    </row>
    <row r="4" spans="1:25" ht="16" x14ac:dyDescent="0.2">
      <c r="A4" s="8">
        <v>3</v>
      </c>
      <c r="B4" s="3" t="s">
        <v>1</v>
      </c>
      <c r="C4" s="8">
        <v>1</v>
      </c>
      <c r="D4" s="8">
        <v>1</v>
      </c>
      <c r="E4" s="8">
        <v>1</v>
      </c>
      <c r="F4" s="7">
        <f t="shared" si="0"/>
        <v>3</v>
      </c>
      <c r="G4" s="18">
        <v>1.5</v>
      </c>
      <c r="H4" s="18">
        <v>1161</v>
      </c>
      <c r="I4" s="19">
        <f t="shared" si="1"/>
        <v>774</v>
      </c>
      <c r="J4" s="18">
        <v>348300</v>
      </c>
      <c r="K4" s="18">
        <v>108522</v>
      </c>
      <c r="L4" s="20">
        <f t="shared" si="2"/>
        <v>1.069060773480663</v>
      </c>
      <c r="M4" s="11">
        <v>1</v>
      </c>
      <c r="N4" s="11">
        <v>1294</v>
      </c>
      <c r="O4" s="9">
        <f t="shared" si="3"/>
        <v>1294</v>
      </c>
      <c r="P4" s="11">
        <v>388200</v>
      </c>
      <c r="Q4" s="11">
        <v>147853</v>
      </c>
      <c r="R4" s="21">
        <f t="shared" si="4"/>
        <v>1.5975308641975308</v>
      </c>
      <c r="S4" s="14">
        <v>1</v>
      </c>
      <c r="T4" s="14">
        <v>990</v>
      </c>
      <c r="U4" s="15">
        <f t="shared" si="5"/>
        <v>990</v>
      </c>
      <c r="V4" s="14">
        <f t="shared" si="6"/>
        <v>297000</v>
      </c>
      <c r="W4" s="14">
        <v>133803</v>
      </c>
      <c r="X4" s="15">
        <f t="shared" si="7"/>
        <v>1.2207151664611591</v>
      </c>
      <c r="Y4" s="24">
        <f t="shared" si="8"/>
        <v>1.2957689347131176</v>
      </c>
    </row>
    <row r="5" spans="1:25" ht="16" x14ac:dyDescent="0.2">
      <c r="A5" s="8">
        <v>4</v>
      </c>
      <c r="B5" s="3" t="s">
        <v>2</v>
      </c>
      <c r="C5" s="8">
        <v>1</v>
      </c>
      <c r="D5" s="8">
        <v>1</v>
      </c>
      <c r="E5" s="8">
        <v>1</v>
      </c>
      <c r="F5" s="7">
        <f t="shared" si="0"/>
        <v>3</v>
      </c>
      <c r="G5" s="18">
        <v>10</v>
      </c>
      <c r="H5" s="18">
        <v>5260</v>
      </c>
      <c r="I5" s="19">
        <f t="shared" si="1"/>
        <v>526</v>
      </c>
      <c r="J5" s="18">
        <v>1578000</v>
      </c>
      <c r="K5" s="18">
        <v>1008154</v>
      </c>
      <c r="L5" s="20">
        <f t="shared" si="2"/>
        <v>0.72651933701657456</v>
      </c>
      <c r="M5" s="11">
        <v>8</v>
      </c>
      <c r="N5" s="11">
        <v>4920</v>
      </c>
      <c r="O5" s="9">
        <f t="shared" si="3"/>
        <v>615</v>
      </c>
      <c r="P5" s="11">
        <v>1476000</v>
      </c>
      <c r="Q5" s="11">
        <v>1077315</v>
      </c>
      <c r="R5" s="21">
        <f t="shared" si="4"/>
        <v>0.7592592592592593</v>
      </c>
      <c r="S5" s="14">
        <v>12</v>
      </c>
      <c r="T5" s="14">
        <v>5780</v>
      </c>
      <c r="U5" s="15">
        <f t="shared" si="5"/>
        <v>481.66666666666669</v>
      </c>
      <c r="V5" s="14">
        <f t="shared" si="6"/>
        <v>1734000</v>
      </c>
      <c r="W5" s="14">
        <v>1321362</v>
      </c>
      <c r="X5" s="15">
        <f t="shared" si="7"/>
        <v>0.59391697492807238</v>
      </c>
      <c r="Y5" s="24">
        <f t="shared" si="8"/>
        <v>0.69323185706796886</v>
      </c>
    </row>
    <row r="6" spans="1:25" ht="16" x14ac:dyDescent="0.2">
      <c r="A6" s="8">
        <v>5</v>
      </c>
      <c r="B6" s="3" t="s">
        <v>3</v>
      </c>
      <c r="C6" s="8">
        <v>1</v>
      </c>
      <c r="D6" s="8">
        <v>1</v>
      </c>
      <c r="E6" s="8">
        <v>1</v>
      </c>
      <c r="F6" s="7">
        <f t="shared" si="0"/>
        <v>3</v>
      </c>
      <c r="G6" s="18">
        <v>0.5</v>
      </c>
      <c r="H6" s="18">
        <v>285</v>
      </c>
      <c r="I6" s="19">
        <f t="shared" si="1"/>
        <v>570</v>
      </c>
      <c r="J6" s="18">
        <v>85500</v>
      </c>
      <c r="K6" s="18">
        <v>112022</v>
      </c>
      <c r="L6" s="20">
        <f t="shared" si="2"/>
        <v>0.78729281767955805</v>
      </c>
      <c r="M6" s="11">
        <v>1</v>
      </c>
      <c r="N6" s="11">
        <v>719</v>
      </c>
      <c r="O6" s="9">
        <f t="shared" si="3"/>
        <v>719</v>
      </c>
      <c r="P6" s="11">
        <v>215700</v>
      </c>
      <c r="Q6" s="11">
        <v>156168</v>
      </c>
      <c r="R6" s="21">
        <f t="shared" si="4"/>
        <v>0.88765432098765429</v>
      </c>
      <c r="S6" s="14">
        <v>0.75</v>
      </c>
      <c r="T6" s="14">
        <v>455</v>
      </c>
      <c r="U6" s="15">
        <f t="shared" si="5"/>
        <v>606.66666666666663</v>
      </c>
      <c r="V6" s="14">
        <f t="shared" si="6"/>
        <v>136500</v>
      </c>
      <c r="W6" s="14">
        <v>120365</v>
      </c>
      <c r="X6" s="15">
        <f t="shared" si="7"/>
        <v>0.74804767776407721</v>
      </c>
      <c r="Y6" s="24">
        <f t="shared" si="8"/>
        <v>0.80766493881042989</v>
      </c>
    </row>
    <row r="7" spans="1:25" ht="16" x14ac:dyDescent="0.2">
      <c r="A7" s="8">
        <v>6</v>
      </c>
      <c r="B7" s="3" t="s">
        <v>4</v>
      </c>
      <c r="C7" s="8">
        <v>1</v>
      </c>
      <c r="D7" s="8">
        <v>1</v>
      </c>
      <c r="E7" s="8">
        <v>1</v>
      </c>
      <c r="F7" s="7">
        <f t="shared" si="0"/>
        <v>3</v>
      </c>
      <c r="G7" s="18">
        <v>2</v>
      </c>
      <c r="H7" s="18">
        <v>1542</v>
      </c>
      <c r="I7" s="19">
        <f t="shared" si="1"/>
        <v>771</v>
      </c>
      <c r="J7" s="18">
        <v>462600</v>
      </c>
      <c r="K7" s="18">
        <v>213511</v>
      </c>
      <c r="L7" s="20">
        <f t="shared" si="2"/>
        <v>1.0649171270718232</v>
      </c>
      <c r="M7" s="11">
        <v>2.5</v>
      </c>
      <c r="N7" s="11">
        <v>1427</v>
      </c>
      <c r="O7" s="9">
        <f t="shared" si="3"/>
        <v>570.79999999999995</v>
      </c>
      <c r="P7" s="11">
        <v>428100</v>
      </c>
      <c r="Q7" s="11">
        <v>221792</v>
      </c>
      <c r="R7" s="21">
        <f t="shared" si="4"/>
        <v>0.70469135802469129</v>
      </c>
      <c r="S7" s="14">
        <v>2</v>
      </c>
      <c r="T7" s="14">
        <v>1420</v>
      </c>
      <c r="U7" s="15">
        <f t="shared" si="5"/>
        <v>710</v>
      </c>
      <c r="V7" s="14">
        <f t="shared" si="6"/>
        <v>426000</v>
      </c>
      <c r="W7" s="14">
        <v>198271</v>
      </c>
      <c r="X7" s="15">
        <f t="shared" si="7"/>
        <v>0.87546239210850807</v>
      </c>
      <c r="Y7" s="24">
        <f t="shared" si="8"/>
        <v>0.88169029240167418</v>
      </c>
    </row>
    <row r="8" spans="1:25" ht="16" x14ac:dyDescent="0.2">
      <c r="A8" s="8">
        <v>7</v>
      </c>
      <c r="B8" s="3" t="s">
        <v>5</v>
      </c>
      <c r="C8" s="8">
        <v>1</v>
      </c>
      <c r="D8" s="8">
        <v>1</v>
      </c>
      <c r="E8" s="8">
        <v>1</v>
      </c>
      <c r="F8" s="7">
        <f t="shared" si="0"/>
        <v>3</v>
      </c>
      <c r="G8" s="18">
        <v>2</v>
      </c>
      <c r="H8" s="18">
        <v>1856</v>
      </c>
      <c r="I8" s="19">
        <f t="shared" si="1"/>
        <v>928</v>
      </c>
      <c r="J8" s="18">
        <v>556800</v>
      </c>
      <c r="K8" s="18">
        <v>682577</v>
      </c>
      <c r="L8" s="20">
        <f t="shared" si="2"/>
        <v>1.281767955801105</v>
      </c>
      <c r="M8" s="11">
        <v>1.5</v>
      </c>
      <c r="N8" s="11">
        <v>815</v>
      </c>
      <c r="O8" s="9">
        <f t="shared" si="3"/>
        <v>543.33333333333337</v>
      </c>
      <c r="P8" s="11">
        <v>244500</v>
      </c>
      <c r="Q8" s="11">
        <v>479956</v>
      </c>
      <c r="R8" s="21">
        <f t="shared" si="4"/>
        <v>0.67078189300411528</v>
      </c>
      <c r="S8" s="14">
        <v>1</v>
      </c>
      <c r="T8" s="14">
        <v>697</v>
      </c>
      <c r="U8" s="15">
        <f t="shared" si="5"/>
        <v>697</v>
      </c>
      <c r="V8" s="14">
        <f t="shared" si="6"/>
        <v>209100</v>
      </c>
      <c r="W8" s="14">
        <v>218091</v>
      </c>
      <c r="X8" s="15">
        <f t="shared" si="7"/>
        <v>0.85943279901356351</v>
      </c>
      <c r="Y8" s="24">
        <f t="shared" si="8"/>
        <v>0.93732754927292794</v>
      </c>
    </row>
    <row r="9" spans="1:25" ht="16" x14ac:dyDescent="0.2">
      <c r="A9" s="8">
        <v>8</v>
      </c>
      <c r="B9" s="3" t="s">
        <v>6</v>
      </c>
      <c r="C9" s="8">
        <v>1</v>
      </c>
      <c r="D9" s="8">
        <v>1</v>
      </c>
      <c r="E9" s="8">
        <v>1</v>
      </c>
      <c r="F9" s="7">
        <f t="shared" si="0"/>
        <v>3</v>
      </c>
      <c r="G9" s="18">
        <v>4</v>
      </c>
      <c r="H9" s="18">
        <v>4200</v>
      </c>
      <c r="I9" s="19">
        <f t="shared" si="1"/>
        <v>1050</v>
      </c>
      <c r="J9" s="18">
        <v>1260000</v>
      </c>
      <c r="K9" s="18">
        <v>742077</v>
      </c>
      <c r="L9" s="20">
        <f t="shared" si="2"/>
        <v>1.4502762430939227</v>
      </c>
      <c r="M9" s="11">
        <v>5</v>
      </c>
      <c r="N9" s="11">
        <v>4160</v>
      </c>
      <c r="O9" s="9">
        <f t="shared" si="3"/>
        <v>832</v>
      </c>
      <c r="P9" s="11">
        <v>1248000</v>
      </c>
      <c r="Q9" s="11">
        <v>760013</v>
      </c>
      <c r="R9" s="21">
        <f t="shared" si="4"/>
        <v>1.0271604938271606</v>
      </c>
      <c r="S9" s="14">
        <v>5</v>
      </c>
      <c r="T9" s="14">
        <v>5241</v>
      </c>
      <c r="U9" s="15">
        <f t="shared" si="5"/>
        <v>1048.2</v>
      </c>
      <c r="V9" s="14">
        <f t="shared" si="6"/>
        <v>1572300</v>
      </c>
      <c r="W9" s="14">
        <v>796745</v>
      </c>
      <c r="X9" s="15">
        <f t="shared" si="7"/>
        <v>1.292478421701603</v>
      </c>
      <c r="Y9" s="24">
        <f t="shared" si="8"/>
        <v>1.2566383862075621</v>
      </c>
    </row>
    <row r="10" spans="1:25" ht="16" x14ac:dyDescent="0.2">
      <c r="A10" s="8">
        <v>9</v>
      </c>
      <c r="B10" s="3" t="s">
        <v>93</v>
      </c>
      <c r="C10" s="8">
        <v>1</v>
      </c>
      <c r="D10" s="8">
        <v>1</v>
      </c>
      <c r="E10" s="8">
        <v>0</v>
      </c>
      <c r="F10" s="7">
        <f t="shared" si="0"/>
        <v>2</v>
      </c>
      <c r="G10" s="18">
        <v>3</v>
      </c>
      <c r="H10" s="18">
        <v>1541</v>
      </c>
      <c r="I10" s="19">
        <f t="shared" si="1"/>
        <v>513.66666666666663</v>
      </c>
      <c r="J10" s="18">
        <v>462300</v>
      </c>
      <c r="K10" s="18">
        <v>493588</v>
      </c>
      <c r="L10" s="20">
        <f t="shared" si="2"/>
        <v>0.70948434622467771</v>
      </c>
      <c r="M10" s="11">
        <v>2</v>
      </c>
      <c r="N10" s="11">
        <v>1231</v>
      </c>
      <c r="O10" s="9">
        <f t="shared" si="3"/>
        <v>615.5</v>
      </c>
      <c r="P10" s="11">
        <v>369300</v>
      </c>
      <c r="Q10" s="11">
        <v>341718</v>
      </c>
      <c r="R10" s="21">
        <f t="shared" si="4"/>
        <v>0.75987654320987652</v>
      </c>
      <c r="S10" s="14"/>
      <c r="T10" s="14"/>
      <c r="U10" s="15"/>
      <c r="V10" s="14"/>
      <c r="W10" s="14"/>
      <c r="X10" s="15"/>
      <c r="Y10" s="24">
        <f t="shared" si="8"/>
        <v>0.73468044471727711</v>
      </c>
    </row>
    <row r="11" spans="1:25" ht="16" x14ac:dyDescent="0.2">
      <c r="A11" s="8">
        <v>10</v>
      </c>
      <c r="B11" s="3" t="s">
        <v>7</v>
      </c>
      <c r="C11" s="8">
        <v>1</v>
      </c>
      <c r="D11" s="8">
        <v>1</v>
      </c>
      <c r="E11" s="8">
        <v>1</v>
      </c>
      <c r="F11" s="7">
        <f t="shared" si="0"/>
        <v>3</v>
      </c>
      <c r="G11" s="18">
        <v>3</v>
      </c>
      <c r="H11" s="18">
        <v>1284</v>
      </c>
      <c r="I11" s="19">
        <f t="shared" si="1"/>
        <v>428</v>
      </c>
      <c r="J11" s="18">
        <v>385200</v>
      </c>
      <c r="K11" s="18">
        <v>357077</v>
      </c>
      <c r="L11" s="20">
        <f t="shared" si="2"/>
        <v>0.59116022099447518</v>
      </c>
      <c r="M11" s="11">
        <v>4</v>
      </c>
      <c r="N11" s="11">
        <v>2500</v>
      </c>
      <c r="O11" s="9">
        <f t="shared" si="3"/>
        <v>625</v>
      </c>
      <c r="P11" s="11">
        <v>750000</v>
      </c>
      <c r="Q11" s="11">
        <v>541022</v>
      </c>
      <c r="R11" s="21">
        <f t="shared" si="4"/>
        <v>0.77160493827160492</v>
      </c>
      <c r="S11" s="14">
        <v>4</v>
      </c>
      <c r="T11" s="14">
        <v>3045</v>
      </c>
      <c r="U11" s="15">
        <f t="shared" ref="U11:U16" si="9">T11/S11</f>
        <v>761.25</v>
      </c>
      <c r="V11" s="14">
        <f t="shared" ref="V11:V16" si="10">T11*300</f>
        <v>913500</v>
      </c>
      <c r="W11" s="14">
        <v>535668</v>
      </c>
      <c r="X11" s="15">
        <f t="shared" si="7"/>
        <v>0.93865598027127006</v>
      </c>
      <c r="Y11" s="24">
        <f t="shared" si="8"/>
        <v>0.76714037984578332</v>
      </c>
    </row>
    <row r="12" spans="1:25" ht="16" x14ac:dyDescent="0.2">
      <c r="A12" s="8">
        <v>11</v>
      </c>
      <c r="B12" s="3" t="s">
        <v>8</v>
      </c>
      <c r="C12" s="8">
        <v>1</v>
      </c>
      <c r="D12" s="8">
        <v>1</v>
      </c>
      <c r="E12" s="8">
        <v>1</v>
      </c>
      <c r="F12" s="7">
        <f t="shared" si="0"/>
        <v>3</v>
      </c>
      <c r="G12" s="18">
        <v>3</v>
      </c>
      <c r="H12" s="18">
        <v>2535</v>
      </c>
      <c r="I12" s="19">
        <f t="shared" si="1"/>
        <v>845</v>
      </c>
      <c r="J12" s="18">
        <v>760500</v>
      </c>
      <c r="K12" s="18">
        <v>815577</v>
      </c>
      <c r="L12" s="20">
        <f t="shared" si="2"/>
        <v>1.1671270718232045</v>
      </c>
      <c r="M12" s="11">
        <v>3</v>
      </c>
      <c r="N12" s="11">
        <v>2435</v>
      </c>
      <c r="O12" s="9">
        <f t="shared" si="3"/>
        <v>811.66666666666663</v>
      </c>
      <c r="P12" s="11">
        <v>730500</v>
      </c>
      <c r="Q12" s="11">
        <v>634827</v>
      </c>
      <c r="R12" s="21">
        <f t="shared" si="4"/>
        <v>1.0020576131687242</v>
      </c>
      <c r="S12" s="14">
        <v>2</v>
      </c>
      <c r="T12" s="14">
        <v>1727</v>
      </c>
      <c r="U12" s="15">
        <f t="shared" si="9"/>
        <v>863.5</v>
      </c>
      <c r="V12" s="14">
        <f t="shared" si="10"/>
        <v>518100</v>
      </c>
      <c r="W12" s="14">
        <v>586714</v>
      </c>
      <c r="X12" s="15">
        <f t="shared" si="7"/>
        <v>1.064734895191122</v>
      </c>
      <c r="Y12" s="24">
        <f t="shared" si="8"/>
        <v>1.0779731933943502</v>
      </c>
    </row>
    <row r="13" spans="1:25" ht="16" x14ac:dyDescent="0.2">
      <c r="A13" s="8">
        <v>12</v>
      </c>
      <c r="B13" s="3" t="s">
        <v>9</v>
      </c>
      <c r="C13" s="8">
        <v>1</v>
      </c>
      <c r="D13" s="8">
        <v>1</v>
      </c>
      <c r="E13" s="8">
        <v>1</v>
      </c>
      <c r="F13" s="7">
        <f t="shared" si="0"/>
        <v>3</v>
      </c>
      <c r="G13" s="18">
        <v>2</v>
      </c>
      <c r="H13" s="18">
        <v>1689</v>
      </c>
      <c r="I13" s="19">
        <f t="shared" si="1"/>
        <v>844.5</v>
      </c>
      <c r="J13" s="18">
        <v>506700</v>
      </c>
      <c r="K13" s="18">
        <v>161022</v>
      </c>
      <c r="L13" s="20">
        <f t="shared" si="2"/>
        <v>1.1664364640883977</v>
      </c>
      <c r="M13" s="11">
        <v>2</v>
      </c>
      <c r="N13" s="11">
        <v>1257</v>
      </c>
      <c r="O13" s="9">
        <f t="shared" si="3"/>
        <v>628.5</v>
      </c>
      <c r="P13" s="11">
        <v>377100</v>
      </c>
      <c r="Q13" s="11">
        <v>161782</v>
      </c>
      <c r="R13" s="21">
        <f t="shared" si="4"/>
        <v>0.77592592592592591</v>
      </c>
      <c r="S13" s="14">
        <v>2</v>
      </c>
      <c r="T13" s="14">
        <v>1498</v>
      </c>
      <c r="U13" s="15">
        <f t="shared" si="9"/>
        <v>749</v>
      </c>
      <c r="V13" s="14">
        <f t="shared" si="10"/>
        <v>449400</v>
      </c>
      <c r="W13" s="14">
        <v>173505</v>
      </c>
      <c r="X13" s="15">
        <f t="shared" si="7"/>
        <v>0.92355117139334153</v>
      </c>
      <c r="Y13" s="24">
        <f t="shared" si="8"/>
        <v>0.95530452046922176</v>
      </c>
    </row>
    <row r="14" spans="1:25" ht="16" x14ac:dyDescent="0.2">
      <c r="A14" s="8">
        <v>13</v>
      </c>
      <c r="B14" s="3" t="s">
        <v>10</v>
      </c>
      <c r="C14" s="8">
        <v>1</v>
      </c>
      <c r="D14" s="8">
        <v>1</v>
      </c>
      <c r="E14" s="8">
        <v>1</v>
      </c>
      <c r="F14" s="7">
        <f t="shared" si="0"/>
        <v>3</v>
      </c>
      <c r="G14" s="18">
        <v>7</v>
      </c>
      <c r="H14" s="18">
        <v>5460</v>
      </c>
      <c r="I14" s="19">
        <f t="shared" si="1"/>
        <v>780</v>
      </c>
      <c r="J14" s="18">
        <v>1638000</v>
      </c>
      <c r="K14" s="18">
        <v>1277610</v>
      </c>
      <c r="L14" s="20">
        <f t="shared" si="2"/>
        <v>1.0773480662983426</v>
      </c>
      <c r="M14" s="11">
        <v>7</v>
      </c>
      <c r="N14" s="11">
        <v>7940</v>
      </c>
      <c r="O14" s="9">
        <f t="shared" si="3"/>
        <v>1134.2857142857142</v>
      </c>
      <c r="P14" s="11">
        <v>2382000</v>
      </c>
      <c r="Q14" s="11">
        <v>957430</v>
      </c>
      <c r="R14" s="21">
        <f t="shared" si="4"/>
        <v>1.4003527336860668</v>
      </c>
      <c r="S14" s="14">
        <v>10</v>
      </c>
      <c r="T14" s="14">
        <v>10677</v>
      </c>
      <c r="U14" s="15">
        <f t="shared" si="9"/>
        <v>1067.7</v>
      </c>
      <c r="V14" s="14">
        <f t="shared" si="10"/>
        <v>3203100</v>
      </c>
      <c r="W14" s="14">
        <v>1492619</v>
      </c>
      <c r="X14" s="15">
        <f t="shared" si="7"/>
        <v>1.3165228113440197</v>
      </c>
      <c r="Y14" s="24">
        <f t="shared" si="8"/>
        <v>1.2647412037761432</v>
      </c>
    </row>
    <row r="15" spans="1:25" ht="16" x14ac:dyDescent="0.2">
      <c r="A15" s="8">
        <v>14</v>
      </c>
      <c r="B15" s="3" t="s">
        <v>11</v>
      </c>
      <c r="C15" s="8">
        <v>1</v>
      </c>
      <c r="D15" s="8">
        <v>1</v>
      </c>
      <c r="E15" s="8">
        <v>1</v>
      </c>
      <c r="F15" s="7">
        <f t="shared" si="0"/>
        <v>3</v>
      </c>
      <c r="G15" s="18">
        <v>0.75</v>
      </c>
      <c r="H15" s="18">
        <v>488</v>
      </c>
      <c r="I15" s="19">
        <f t="shared" si="1"/>
        <v>650.66666666666663</v>
      </c>
      <c r="J15" s="18">
        <v>146400</v>
      </c>
      <c r="K15" s="18">
        <v>259011</v>
      </c>
      <c r="L15" s="20">
        <f t="shared" si="2"/>
        <v>0.89871086556169422</v>
      </c>
      <c r="M15" s="11">
        <v>2</v>
      </c>
      <c r="N15" s="11">
        <v>2039</v>
      </c>
      <c r="O15" s="9">
        <f t="shared" si="3"/>
        <v>1019.5</v>
      </c>
      <c r="P15" s="11">
        <v>611700</v>
      </c>
      <c r="Q15" s="11">
        <v>335139</v>
      </c>
      <c r="R15" s="21">
        <f t="shared" si="4"/>
        <v>1.258641975308642</v>
      </c>
      <c r="S15" s="14">
        <v>2</v>
      </c>
      <c r="T15" s="14">
        <v>905</v>
      </c>
      <c r="U15" s="15">
        <f t="shared" si="9"/>
        <v>452.5</v>
      </c>
      <c r="V15" s="14">
        <f t="shared" si="10"/>
        <v>271500</v>
      </c>
      <c r="W15" s="14">
        <v>288226</v>
      </c>
      <c r="X15" s="15">
        <f t="shared" si="7"/>
        <v>0.55795314426633791</v>
      </c>
      <c r="Y15" s="24">
        <f t="shared" si="8"/>
        <v>0.90510199504555811</v>
      </c>
    </row>
    <row r="16" spans="1:25" ht="16" x14ac:dyDescent="0.2">
      <c r="A16" s="8">
        <v>15</v>
      </c>
      <c r="B16" s="3" t="s">
        <v>12</v>
      </c>
      <c r="C16" s="8">
        <v>1</v>
      </c>
      <c r="D16" s="8">
        <v>1</v>
      </c>
      <c r="E16" s="8">
        <v>1</v>
      </c>
      <c r="F16" s="7">
        <f t="shared" si="0"/>
        <v>3</v>
      </c>
      <c r="G16" s="18">
        <v>2</v>
      </c>
      <c r="H16" s="18">
        <v>1950</v>
      </c>
      <c r="I16" s="19">
        <f t="shared" si="1"/>
        <v>975</v>
      </c>
      <c r="J16" s="18">
        <v>585000</v>
      </c>
      <c r="K16" s="18">
        <v>549599</v>
      </c>
      <c r="L16" s="20">
        <f t="shared" si="2"/>
        <v>1.3466850828729282</v>
      </c>
      <c r="M16" s="11">
        <v>2</v>
      </c>
      <c r="N16" s="11">
        <v>1446</v>
      </c>
      <c r="O16" s="9">
        <f t="shared" si="3"/>
        <v>723</v>
      </c>
      <c r="P16" s="11">
        <v>433800</v>
      </c>
      <c r="Q16" s="11">
        <v>455349</v>
      </c>
      <c r="R16" s="21">
        <f t="shared" si="4"/>
        <v>0.8925925925925926</v>
      </c>
      <c r="S16" s="14">
        <v>2</v>
      </c>
      <c r="T16" s="14">
        <v>1177</v>
      </c>
      <c r="U16" s="15">
        <f t="shared" si="9"/>
        <v>588.5</v>
      </c>
      <c r="V16" s="14">
        <f t="shared" si="10"/>
        <v>353100</v>
      </c>
      <c r="W16" s="14">
        <v>437542</v>
      </c>
      <c r="X16" s="15">
        <f t="shared" si="7"/>
        <v>0.72564734895191119</v>
      </c>
      <c r="Y16" s="24">
        <f t="shared" si="8"/>
        <v>0.98830834147247737</v>
      </c>
    </row>
    <row r="17" spans="1:25" ht="16" x14ac:dyDescent="0.2">
      <c r="A17" s="8">
        <v>16</v>
      </c>
      <c r="B17" s="3" t="s">
        <v>104</v>
      </c>
      <c r="C17" s="8">
        <v>1</v>
      </c>
      <c r="D17" s="8">
        <v>0</v>
      </c>
      <c r="E17" s="8">
        <v>0</v>
      </c>
      <c r="F17" s="7">
        <f t="shared" si="0"/>
        <v>1</v>
      </c>
      <c r="G17" s="18">
        <v>1</v>
      </c>
      <c r="H17" s="18">
        <v>1078</v>
      </c>
      <c r="I17" s="19">
        <f t="shared" si="1"/>
        <v>1078</v>
      </c>
      <c r="J17" s="18">
        <v>323400</v>
      </c>
      <c r="K17" s="18">
        <v>182033</v>
      </c>
      <c r="L17" s="20">
        <f t="shared" si="2"/>
        <v>1.488950276243094</v>
      </c>
      <c r="M17" s="11"/>
      <c r="N17" s="11"/>
      <c r="O17" s="9"/>
      <c r="P17" s="11"/>
      <c r="Q17" s="11"/>
      <c r="R17" s="21"/>
      <c r="S17" s="14"/>
      <c r="T17" s="14"/>
      <c r="U17" s="15"/>
      <c r="V17" s="14"/>
      <c r="W17" s="14"/>
      <c r="X17" s="15"/>
      <c r="Y17" s="24">
        <f t="shared" si="8"/>
        <v>1.488950276243094</v>
      </c>
    </row>
    <row r="18" spans="1:25" ht="16" x14ac:dyDescent="0.2">
      <c r="A18" s="8">
        <v>17</v>
      </c>
      <c r="B18" s="3" t="s">
        <v>13</v>
      </c>
      <c r="C18" s="8">
        <v>1</v>
      </c>
      <c r="D18" s="8">
        <v>1</v>
      </c>
      <c r="E18" s="8">
        <v>1</v>
      </c>
      <c r="F18" s="7">
        <f t="shared" si="0"/>
        <v>3</v>
      </c>
      <c r="G18" s="18">
        <v>5</v>
      </c>
      <c r="H18" s="18">
        <v>5260</v>
      </c>
      <c r="I18" s="19">
        <f t="shared" si="1"/>
        <v>1052</v>
      </c>
      <c r="J18" s="18">
        <v>1578000</v>
      </c>
      <c r="K18" s="18">
        <v>682654</v>
      </c>
      <c r="L18" s="20">
        <f t="shared" si="2"/>
        <v>1.4530386740331491</v>
      </c>
      <c r="M18" s="11">
        <v>4</v>
      </c>
      <c r="N18" s="11">
        <v>3400</v>
      </c>
      <c r="O18" s="9">
        <f t="shared" ref="O18:O24" si="11">N18/M18</f>
        <v>850</v>
      </c>
      <c r="P18" s="11">
        <v>1020000</v>
      </c>
      <c r="Q18" s="11">
        <v>659722</v>
      </c>
      <c r="R18" s="21">
        <f t="shared" si="4"/>
        <v>1.0493827160493827</v>
      </c>
      <c r="S18" s="14">
        <v>4</v>
      </c>
      <c r="T18" s="14">
        <v>4219</v>
      </c>
      <c r="U18" s="15">
        <f t="shared" ref="U18:U24" si="12">T18/S18</f>
        <v>1054.75</v>
      </c>
      <c r="V18" s="14">
        <f t="shared" ref="V18:V24" si="13">T18*300</f>
        <v>1265700</v>
      </c>
      <c r="W18" s="14">
        <v>582157</v>
      </c>
      <c r="X18" s="15">
        <f t="shared" si="7"/>
        <v>1.3005548705302097</v>
      </c>
      <c r="Y18" s="24">
        <f t="shared" si="8"/>
        <v>1.2676587535375805</v>
      </c>
    </row>
    <row r="19" spans="1:25" ht="16" x14ac:dyDescent="0.2">
      <c r="A19" s="8">
        <v>18</v>
      </c>
      <c r="B19" s="3" t="s">
        <v>14</v>
      </c>
      <c r="C19" s="8">
        <v>1</v>
      </c>
      <c r="D19" s="8">
        <v>1</v>
      </c>
      <c r="E19" s="8">
        <v>1</v>
      </c>
      <c r="F19" s="7">
        <f t="shared" si="0"/>
        <v>3</v>
      </c>
      <c r="G19" s="18">
        <v>6</v>
      </c>
      <c r="H19" s="18">
        <v>8843</v>
      </c>
      <c r="I19" s="19">
        <f t="shared" si="1"/>
        <v>1473.8333333333333</v>
      </c>
      <c r="J19" s="18">
        <v>2652900</v>
      </c>
      <c r="K19" s="18">
        <v>1282498</v>
      </c>
      <c r="L19" s="20">
        <f t="shared" si="2"/>
        <v>2.0356813996316756</v>
      </c>
      <c r="M19" s="11">
        <v>8</v>
      </c>
      <c r="N19" s="11">
        <v>8632</v>
      </c>
      <c r="O19" s="9">
        <f t="shared" si="11"/>
        <v>1079</v>
      </c>
      <c r="P19" s="11">
        <v>2589600</v>
      </c>
      <c r="Q19" s="11">
        <v>1281006</v>
      </c>
      <c r="R19" s="21">
        <f t="shared" si="4"/>
        <v>1.3320987654320988</v>
      </c>
      <c r="S19" s="14">
        <v>8</v>
      </c>
      <c r="T19" s="14">
        <v>21612</v>
      </c>
      <c r="U19" s="15">
        <f t="shared" si="12"/>
        <v>2701.5</v>
      </c>
      <c r="V19" s="14">
        <f t="shared" si="13"/>
        <v>6483600</v>
      </c>
      <c r="W19" s="14">
        <v>1641336</v>
      </c>
      <c r="X19" s="15">
        <f t="shared" si="7"/>
        <v>3.3310727496917387</v>
      </c>
      <c r="Y19" s="24">
        <f t="shared" si="8"/>
        <v>2.2329509715851708</v>
      </c>
    </row>
    <row r="20" spans="1:25" ht="16" x14ac:dyDescent="0.2">
      <c r="A20" s="8">
        <v>19</v>
      </c>
      <c r="B20" s="3" t="s">
        <v>15</v>
      </c>
      <c r="C20" s="8">
        <v>1</v>
      </c>
      <c r="D20" s="8">
        <v>1</v>
      </c>
      <c r="E20" s="8">
        <v>1</v>
      </c>
      <c r="F20" s="7">
        <f t="shared" si="0"/>
        <v>3</v>
      </c>
      <c r="G20" s="18">
        <v>2</v>
      </c>
      <c r="H20" s="18">
        <v>922</v>
      </c>
      <c r="I20" s="19">
        <f t="shared" si="1"/>
        <v>461</v>
      </c>
      <c r="J20" s="18">
        <v>276600</v>
      </c>
      <c r="K20" s="18">
        <v>420055</v>
      </c>
      <c r="L20" s="20">
        <f t="shared" si="2"/>
        <v>0.63674033149171272</v>
      </c>
      <c r="M20" s="11">
        <v>1.75</v>
      </c>
      <c r="N20" s="11">
        <v>1020</v>
      </c>
      <c r="O20" s="9">
        <f t="shared" si="11"/>
        <v>582.85714285714289</v>
      </c>
      <c r="P20" s="11">
        <v>306000</v>
      </c>
      <c r="Q20" s="11">
        <v>306071</v>
      </c>
      <c r="R20" s="21">
        <f t="shared" si="4"/>
        <v>0.71957671957671965</v>
      </c>
      <c r="S20" s="14">
        <v>1</v>
      </c>
      <c r="T20" s="14">
        <v>620</v>
      </c>
      <c r="U20" s="15">
        <f t="shared" si="12"/>
        <v>620</v>
      </c>
      <c r="V20" s="14">
        <f t="shared" si="13"/>
        <v>186000</v>
      </c>
      <c r="W20" s="14">
        <v>243377</v>
      </c>
      <c r="X20" s="15">
        <f t="shared" si="7"/>
        <v>0.76448828606658448</v>
      </c>
      <c r="Y20" s="24">
        <f t="shared" si="8"/>
        <v>0.70693511237833884</v>
      </c>
    </row>
    <row r="21" spans="1:25" ht="16" x14ac:dyDescent="0.2">
      <c r="A21" s="8">
        <v>20</v>
      </c>
      <c r="B21" s="3" t="s">
        <v>16</v>
      </c>
      <c r="C21" s="8">
        <v>1</v>
      </c>
      <c r="D21" s="8">
        <v>1</v>
      </c>
      <c r="E21" s="8">
        <v>1</v>
      </c>
      <c r="F21" s="7">
        <f t="shared" si="0"/>
        <v>3</v>
      </c>
      <c r="G21" s="18">
        <v>7</v>
      </c>
      <c r="H21" s="18">
        <v>7830</v>
      </c>
      <c r="I21" s="19">
        <f t="shared" si="1"/>
        <v>1118.5714285714287</v>
      </c>
      <c r="J21" s="18">
        <v>2349000</v>
      </c>
      <c r="K21" s="18">
        <v>1981209</v>
      </c>
      <c r="L21" s="20">
        <f t="shared" si="2"/>
        <v>1.5449881610102605</v>
      </c>
      <c r="M21" s="11">
        <v>8</v>
      </c>
      <c r="N21" s="11">
        <v>10180</v>
      </c>
      <c r="O21" s="9">
        <f t="shared" si="11"/>
        <v>1272.5</v>
      </c>
      <c r="P21" s="11">
        <v>3054000</v>
      </c>
      <c r="Q21" s="11">
        <v>1750595</v>
      </c>
      <c r="R21" s="21">
        <f t="shared" si="4"/>
        <v>1.5709876543209877</v>
      </c>
      <c r="S21" s="14">
        <v>6</v>
      </c>
      <c r="T21" s="14">
        <v>8561</v>
      </c>
      <c r="U21" s="15">
        <f t="shared" si="12"/>
        <v>1426.8333333333333</v>
      </c>
      <c r="V21" s="14">
        <f t="shared" si="13"/>
        <v>2568300</v>
      </c>
      <c r="W21" s="14">
        <v>1463271</v>
      </c>
      <c r="X21" s="15">
        <f t="shared" si="7"/>
        <v>1.7593505959720508</v>
      </c>
      <c r="Y21" s="24">
        <f t="shared" si="8"/>
        <v>1.6251088037677663</v>
      </c>
    </row>
    <row r="22" spans="1:25" ht="16" x14ac:dyDescent="0.2">
      <c r="A22" s="8">
        <v>21</v>
      </c>
      <c r="B22" s="3" t="s">
        <v>17</v>
      </c>
      <c r="C22" s="8">
        <v>1</v>
      </c>
      <c r="D22" s="8">
        <v>1</v>
      </c>
      <c r="E22" s="8">
        <v>1</v>
      </c>
      <c r="F22" s="7">
        <f t="shared" si="0"/>
        <v>3</v>
      </c>
      <c r="G22" s="18">
        <v>3</v>
      </c>
      <c r="H22" s="18">
        <v>4665</v>
      </c>
      <c r="I22" s="19">
        <f t="shared" si="1"/>
        <v>1555</v>
      </c>
      <c r="J22" s="18">
        <v>1399500</v>
      </c>
      <c r="K22" s="18">
        <v>1169088</v>
      </c>
      <c r="L22" s="20">
        <f t="shared" si="2"/>
        <v>2.1477900552486187</v>
      </c>
      <c r="M22" s="11">
        <v>3</v>
      </c>
      <c r="N22" s="11">
        <v>3231</v>
      </c>
      <c r="O22" s="9">
        <f t="shared" si="11"/>
        <v>1077</v>
      </c>
      <c r="P22" s="11">
        <v>969300</v>
      </c>
      <c r="Q22" s="11">
        <v>737693</v>
      </c>
      <c r="R22" s="21">
        <f t="shared" si="4"/>
        <v>1.3296296296296297</v>
      </c>
      <c r="S22" s="14">
        <v>5</v>
      </c>
      <c r="T22" s="14">
        <v>4074</v>
      </c>
      <c r="U22" s="15">
        <f t="shared" si="12"/>
        <v>814.8</v>
      </c>
      <c r="V22" s="14">
        <f t="shared" si="13"/>
        <v>1222200</v>
      </c>
      <c r="W22" s="14">
        <v>711222</v>
      </c>
      <c r="X22" s="15">
        <f t="shared" si="7"/>
        <v>1.0046855733662146</v>
      </c>
      <c r="Y22" s="24">
        <f t="shared" si="8"/>
        <v>1.4940350860814877</v>
      </c>
    </row>
    <row r="23" spans="1:25" ht="16" x14ac:dyDescent="0.2">
      <c r="A23" s="8">
        <v>22</v>
      </c>
      <c r="B23" s="3" t="s">
        <v>18</v>
      </c>
      <c r="C23" s="8">
        <v>1</v>
      </c>
      <c r="D23" s="8">
        <v>1</v>
      </c>
      <c r="E23" s="8">
        <v>1</v>
      </c>
      <c r="F23" s="7">
        <f t="shared" si="0"/>
        <v>3</v>
      </c>
      <c r="G23" s="18">
        <v>2</v>
      </c>
      <c r="H23" s="18">
        <v>517</v>
      </c>
      <c r="I23" s="19">
        <f t="shared" si="1"/>
        <v>258.5</v>
      </c>
      <c r="J23" s="18">
        <v>155100</v>
      </c>
      <c r="K23" s="18">
        <v>266033</v>
      </c>
      <c r="L23" s="20">
        <f t="shared" si="2"/>
        <v>0.35704419889502764</v>
      </c>
      <c r="M23" s="11">
        <v>1</v>
      </c>
      <c r="N23" s="11">
        <v>480</v>
      </c>
      <c r="O23" s="9">
        <f t="shared" si="11"/>
        <v>480</v>
      </c>
      <c r="P23" s="11">
        <v>144000</v>
      </c>
      <c r="Q23" s="11">
        <v>127951</v>
      </c>
      <c r="R23" s="21">
        <f t="shared" si="4"/>
        <v>0.59259259259259256</v>
      </c>
      <c r="S23" s="14">
        <v>1.5</v>
      </c>
      <c r="T23" s="14">
        <v>70</v>
      </c>
      <c r="U23" s="15">
        <f t="shared" si="12"/>
        <v>46.666666666666664</v>
      </c>
      <c r="V23" s="14">
        <f t="shared" si="13"/>
        <v>21000</v>
      </c>
      <c r="W23" s="14">
        <v>255522</v>
      </c>
      <c r="X23" s="15">
        <f t="shared" si="7"/>
        <v>5.754212905877517E-2</v>
      </c>
      <c r="Y23" s="24">
        <f t="shared" si="8"/>
        <v>0.33572630684879851</v>
      </c>
    </row>
    <row r="24" spans="1:25" ht="16" x14ac:dyDescent="0.2">
      <c r="A24" s="8">
        <v>23</v>
      </c>
      <c r="B24" s="3" t="s">
        <v>19</v>
      </c>
      <c r="C24" s="8">
        <v>1</v>
      </c>
      <c r="D24" s="8">
        <v>1</v>
      </c>
      <c r="E24" s="8">
        <v>1</v>
      </c>
      <c r="F24" s="7">
        <f t="shared" si="0"/>
        <v>3</v>
      </c>
      <c r="G24" s="18">
        <v>1</v>
      </c>
      <c r="H24" s="18">
        <v>753</v>
      </c>
      <c r="I24" s="19">
        <f t="shared" si="1"/>
        <v>753</v>
      </c>
      <c r="J24" s="18">
        <v>225900</v>
      </c>
      <c r="K24" s="18">
        <v>129522</v>
      </c>
      <c r="L24" s="20">
        <f t="shared" si="2"/>
        <v>1.0400552486187846</v>
      </c>
      <c r="M24" s="11">
        <v>1</v>
      </c>
      <c r="N24" s="11">
        <v>890</v>
      </c>
      <c r="O24" s="9">
        <f t="shared" si="11"/>
        <v>890</v>
      </c>
      <c r="P24" s="11">
        <v>267000</v>
      </c>
      <c r="Q24" s="11">
        <v>150181</v>
      </c>
      <c r="R24" s="21">
        <f t="shared" si="4"/>
        <v>1.0987654320987654</v>
      </c>
      <c r="S24" s="14">
        <v>1</v>
      </c>
      <c r="T24" s="14">
        <v>1141</v>
      </c>
      <c r="U24" s="15">
        <f t="shared" si="12"/>
        <v>1141</v>
      </c>
      <c r="V24" s="14">
        <f t="shared" si="13"/>
        <v>342300</v>
      </c>
      <c r="W24" s="14">
        <v>182934</v>
      </c>
      <c r="X24" s="15">
        <f t="shared" si="7"/>
        <v>1.406905055487053</v>
      </c>
      <c r="Y24" s="24">
        <f t="shared" si="8"/>
        <v>1.1819085787348678</v>
      </c>
    </row>
    <row r="25" spans="1:25" ht="16" x14ac:dyDescent="0.2">
      <c r="A25" s="8">
        <v>24</v>
      </c>
      <c r="B25" s="3" t="s">
        <v>105</v>
      </c>
      <c r="C25" s="8">
        <v>1</v>
      </c>
      <c r="D25" s="8">
        <v>0</v>
      </c>
      <c r="E25" s="8">
        <v>1</v>
      </c>
      <c r="F25" s="7">
        <f t="shared" si="0"/>
        <v>2</v>
      </c>
      <c r="G25" s="18">
        <v>0.75</v>
      </c>
      <c r="H25" s="18">
        <v>547</v>
      </c>
      <c r="I25" s="19">
        <f t="shared" si="1"/>
        <v>729.33333333333337</v>
      </c>
      <c r="J25" s="18">
        <v>164100</v>
      </c>
      <c r="K25" s="18">
        <v>119022</v>
      </c>
      <c r="L25" s="20">
        <f t="shared" si="2"/>
        <v>1.007366482504604</v>
      </c>
      <c r="M25" s="11"/>
      <c r="N25" s="11"/>
      <c r="O25" s="9"/>
      <c r="P25" s="11"/>
      <c r="Q25" s="11"/>
      <c r="R25" s="21"/>
      <c r="S25" s="14"/>
      <c r="T25" s="14"/>
      <c r="U25" s="15"/>
      <c r="V25" s="14"/>
      <c r="W25" s="14"/>
      <c r="X25" s="15"/>
      <c r="Y25" s="24">
        <f t="shared" si="8"/>
        <v>1.007366482504604</v>
      </c>
    </row>
    <row r="26" spans="1:25" ht="16" x14ac:dyDescent="0.2">
      <c r="A26" s="8">
        <v>25</v>
      </c>
      <c r="B26" s="3" t="s">
        <v>20</v>
      </c>
      <c r="C26" s="8">
        <v>1</v>
      </c>
      <c r="D26" s="8">
        <v>1</v>
      </c>
      <c r="E26" s="8">
        <v>1</v>
      </c>
      <c r="F26" s="7">
        <f t="shared" si="0"/>
        <v>3</v>
      </c>
      <c r="G26" s="18">
        <v>1</v>
      </c>
      <c r="H26" s="18">
        <v>612</v>
      </c>
      <c r="I26" s="19">
        <f t="shared" si="1"/>
        <v>612</v>
      </c>
      <c r="J26" s="18">
        <v>183600</v>
      </c>
      <c r="K26" s="18">
        <v>105011</v>
      </c>
      <c r="L26" s="20">
        <f t="shared" si="2"/>
        <v>0.84530386740331487</v>
      </c>
      <c r="M26" s="11">
        <v>0.5</v>
      </c>
      <c r="N26" s="11">
        <v>550</v>
      </c>
      <c r="O26" s="9">
        <f t="shared" ref="O26:O33" si="14">N26/M26</f>
        <v>1100</v>
      </c>
      <c r="P26" s="11">
        <v>165000</v>
      </c>
      <c r="Q26" s="11">
        <v>113661</v>
      </c>
      <c r="R26" s="21">
        <f t="shared" si="4"/>
        <v>1.3580246913580247</v>
      </c>
      <c r="S26" s="14">
        <v>1</v>
      </c>
      <c r="T26" s="14">
        <v>1234</v>
      </c>
      <c r="U26" s="15">
        <f t="shared" ref="U26:U33" si="15">T26/S26</f>
        <v>1234</v>
      </c>
      <c r="V26" s="14">
        <f t="shared" ref="V26:V33" si="16">T26*300</f>
        <v>370200</v>
      </c>
      <c r="W26" s="14">
        <v>151713</v>
      </c>
      <c r="X26" s="15">
        <f t="shared" si="7"/>
        <v>1.5215782983970407</v>
      </c>
      <c r="Y26" s="24">
        <f t="shared" si="8"/>
        <v>1.2416356190527933</v>
      </c>
    </row>
    <row r="27" spans="1:25" ht="16" x14ac:dyDescent="0.2">
      <c r="A27" s="8">
        <v>26</v>
      </c>
      <c r="B27" s="3" t="s">
        <v>21</v>
      </c>
      <c r="C27" s="8">
        <v>1</v>
      </c>
      <c r="D27" s="8">
        <v>1</v>
      </c>
      <c r="E27" s="8">
        <v>1</v>
      </c>
      <c r="F27" s="7">
        <f t="shared" si="0"/>
        <v>3</v>
      </c>
      <c r="G27" s="18">
        <v>2</v>
      </c>
      <c r="H27" s="18">
        <v>1831</v>
      </c>
      <c r="I27" s="19">
        <f t="shared" si="1"/>
        <v>915.5</v>
      </c>
      <c r="J27" s="18">
        <v>549300</v>
      </c>
      <c r="K27" s="18">
        <v>364033</v>
      </c>
      <c r="L27" s="20">
        <f t="shared" si="2"/>
        <v>1.2645027624309393</v>
      </c>
      <c r="M27" s="11">
        <v>2</v>
      </c>
      <c r="N27" s="11">
        <v>2019</v>
      </c>
      <c r="O27" s="9">
        <f t="shared" si="14"/>
        <v>1009.5</v>
      </c>
      <c r="P27" s="11">
        <v>605700</v>
      </c>
      <c r="Q27" s="11">
        <v>349079</v>
      </c>
      <c r="R27" s="21">
        <f t="shared" si="4"/>
        <v>1.2462962962962962</v>
      </c>
      <c r="S27" s="14">
        <v>2</v>
      </c>
      <c r="T27" s="14">
        <v>2916</v>
      </c>
      <c r="U27" s="15">
        <f t="shared" si="15"/>
        <v>1458</v>
      </c>
      <c r="V27" s="14">
        <f t="shared" si="16"/>
        <v>874800</v>
      </c>
      <c r="W27" s="14">
        <v>396770</v>
      </c>
      <c r="X27" s="15">
        <f t="shared" si="7"/>
        <v>1.7977805178791615</v>
      </c>
      <c r="Y27" s="24">
        <f t="shared" si="8"/>
        <v>1.4361931922021325</v>
      </c>
    </row>
    <row r="28" spans="1:25" ht="16" x14ac:dyDescent="0.2">
      <c r="A28" s="8">
        <v>27</v>
      </c>
      <c r="B28" s="3" t="s">
        <v>22</v>
      </c>
      <c r="C28" s="8">
        <v>1</v>
      </c>
      <c r="D28" s="8">
        <v>1</v>
      </c>
      <c r="E28" s="8">
        <v>1</v>
      </c>
      <c r="F28" s="7">
        <f t="shared" si="0"/>
        <v>3</v>
      </c>
      <c r="G28" s="18">
        <v>3</v>
      </c>
      <c r="H28" s="18">
        <v>1314</v>
      </c>
      <c r="I28" s="19">
        <f t="shared" si="1"/>
        <v>438</v>
      </c>
      <c r="J28" s="18">
        <v>394200</v>
      </c>
      <c r="K28" s="18">
        <v>322055</v>
      </c>
      <c r="L28" s="20">
        <f t="shared" si="2"/>
        <v>0.60497237569060769</v>
      </c>
      <c r="M28" s="11">
        <v>3</v>
      </c>
      <c r="N28" s="11">
        <v>1603</v>
      </c>
      <c r="O28" s="9">
        <f t="shared" si="14"/>
        <v>534.33333333333337</v>
      </c>
      <c r="P28" s="11">
        <v>480900</v>
      </c>
      <c r="Q28" s="11">
        <v>328320</v>
      </c>
      <c r="R28" s="21">
        <f t="shared" si="4"/>
        <v>0.65967078189300421</v>
      </c>
      <c r="S28" s="14">
        <v>3</v>
      </c>
      <c r="T28" s="14">
        <v>1488</v>
      </c>
      <c r="U28" s="15">
        <f t="shared" si="15"/>
        <v>496</v>
      </c>
      <c r="V28" s="14">
        <f t="shared" si="16"/>
        <v>446400</v>
      </c>
      <c r="W28" s="14">
        <v>357997</v>
      </c>
      <c r="X28" s="15">
        <f t="shared" si="7"/>
        <v>0.61159062885326754</v>
      </c>
      <c r="Y28" s="24">
        <f t="shared" si="8"/>
        <v>0.62541126214562648</v>
      </c>
    </row>
    <row r="29" spans="1:25" ht="16" x14ac:dyDescent="0.2">
      <c r="A29" s="8">
        <v>28</v>
      </c>
      <c r="B29" s="3" t="s">
        <v>23</v>
      </c>
      <c r="C29" s="8">
        <v>1</v>
      </c>
      <c r="D29" s="8">
        <v>1</v>
      </c>
      <c r="E29" s="8">
        <v>1</v>
      </c>
      <c r="F29" s="7">
        <f t="shared" si="0"/>
        <v>3</v>
      </c>
      <c r="G29" s="18">
        <v>1</v>
      </c>
      <c r="H29" s="18">
        <v>817</v>
      </c>
      <c r="I29" s="19">
        <f t="shared" si="1"/>
        <v>817</v>
      </c>
      <c r="J29" s="18">
        <v>245100</v>
      </c>
      <c r="K29" s="18">
        <v>259044</v>
      </c>
      <c r="L29" s="20">
        <f t="shared" si="2"/>
        <v>1.1284530386740332</v>
      </c>
      <c r="M29" s="11">
        <v>1</v>
      </c>
      <c r="N29" s="11">
        <v>846</v>
      </c>
      <c r="O29" s="9">
        <f t="shared" si="14"/>
        <v>846</v>
      </c>
      <c r="P29" s="11">
        <v>253800</v>
      </c>
      <c r="Q29" s="11">
        <v>150041</v>
      </c>
      <c r="R29" s="21">
        <f t="shared" si="4"/>
        <v>1.0444444444444445</v>
      </c>
      <c r="S29" s="14">
        <v>2</v>
      </c>
      <c r="T29" s="14">
        <v>902</v>
      </c>
      <c r="U29" s="15">
        <f t="shared" si="15"/>
        <v>451</v>
      </c>
      <c r="V29" s="14">
        <f t="shared" si="16"/>
        <v>270600</v>
      </c>
      <c r="W29" s="14">
        <v>299277</v>
      </c>
      <c r="X29" s="15">
        <f t="shared" si="7"/>
        <v>0.55610357583230574</v>
      </c>
      <c r="Y29" s="24">
        <f t="shared" si="8"/>
        <v>0.90966701965026109</v>
      </c>
    </row>
    <row r="30" spans="1:25" ht="16" x14ac:dyDescent="0.2">
      <c r="A30" s="8">
        <v>29</v>
      </c>
      <c r="B30" s="3" t="s">
        <v>24</v>
      </c>
      <c r="C30" s="8">
        <v>1</v>
      </c>
      <c r="D30" s="8">
        <v>1</v>
      </c>
      <c r="E30" s="8">
        <v>1</v>
      </c>
      <c r="F30" s="7">
        <f t="shared" si="0"/>
        <v>3</v>
      </c>
      <c r="G30" s="18">
        <v>2</v>
      </c>
      <c r="H30" s="18">
        <v>1933</v>
      </c>
      <c r="I30" s="19">
        <f t="shared" si="1"/>
        <v>966.5</v>
      </c>
      <c r="J30" s="18">
        <v>579900</v>
      </c>
      <c r="K30" s="18">
        <v>322022</v>
      </c>
      <c r="L30" s="20">
        <f t="shared" si="2"/>
        <v>1.3349447513812154</v>
      </c>
      <c r="M30" s="11">
        <v>3</v>
      </c>
      <c r="N30" s="11">
        <v>1680</v>
      </c>
      <c r="O30" s="9">
        <f t="shared" si="14"/>
        <v>560</v>
      </c>
      <c r="P30" s="11">
        <v>504000</v>
      </c>
      <c r="Q30" s="11">
        <v>373551</v>
      </c>
      <c r="R30" s="21">
        <f t="shared" si="4"/>
        <v>0.69135802469135799</v>
      </c>
      <c r="S30" s="14">
        <v>2</v>
      </c>
      <c r="T30" s="14">
        <v>1178</v>
      </c>
      <c r="U30" s="15">
        <f t="shared" si="15"/>
        <v>589</v>
      </c>
      <c r="V30" s="14">
        <f t="shared" si="16"/>
        <v>353400</v>
      </c>
      <c r="W30" s="14">
        <v>305556</v>
      </c>
      <c r="X30" s="15">
        <f t="shared" si="7"/>
        <v>0.72626387176325524</v>
      </c>
      <c r="Y30" s="24">
        <f t="shared" si="8"/>
        <v>0.91752221594527628</v>
      </c>
    </row>
    <row r="31" spans="1:25" ht="16" x14ac:dyDescent="0.2">
      <c r="A31" s="8">
        <v>30</v>
      </c>
      <c r="B31" s="3" t="s">
        <v>25</v>
      </c>
      <c r="C31" s="8">
        <v>1</v>
      </c>
      <c r="D31" s="8">
        <v>1</v>
      </c>
      <c r="E31" s="8">
        <v>1</v>
      </c>
      <c r="F31" s="7">
        <f t="shared" si="0"/>
        <v>3</v>
      </c>
      <c r="G31" s="18">
        <v>2.5</v>
      </c>
      <c r="H31" s="18">
        <v>2598</v>
      </c>
      <c r="I31" s="19">
        <f t="shared" si="1"/>
        <v>1039.2</v>
      </c>
      <c r="J31" s="18">
        <v>779400</v>
      </c>
      <c r="K31" s="18">
        <v>329055</v>
      </c>
      <c r="L31" s="20">
        <f t="shared" si="2"/>
        <v>1.4353591160220995</v>
      </c>
      <c r="M31" s="11">
        <v>2.5</v>
      </c>
      <c r="N31" s="11">
        <v>1900</v>
      </c>
      <c r="O31" s="9">
        <f t="shared" si="14"/>
        <v>760</v>
      </c>
      <c r="P31" s="11">
        <v>570000</v>
      </c>
      <c r="Q31" s="11">
        <v>262211</v>
      </c>
      <c r="R31" s="21">
        <f t="shared" si="4"/>
        <v>0.93827160493827155</v>
      </c>
      <c r="S31" s="14">
        <v>3</v>
      </c>
      <c r="T31" s="14">
        <v>1812</v>
      </c>
      <c r="U31" s="15">
        <f t="shared" si="15"/>
        <v>604</v>
      </c>
      <c r="V31" s="14">
        <f t="shared" si="16"/>
        <v>543600</v>
      </c>
      <c r="W31" s="14">
        <v>319969</v>
      </c>
      <c r="X31" s="15">
        <f t="shared" si="7"/>
        <v>0.7447595561035758</v>
      </c>
      <c r="Y31" s="24">
        <f t="shared" si="8"/>
        <v>1.0394634256879822</v>
      </c>
    </row>
    <row r="32" spans="1:25" ht="16" x14ac:dyDescent="0.2">
      <c r="A32" s="8">
        <v>31</v>
      </c>
      <c r="B32" s="3" t="s">
        <v>26</v>
      </c>
      <c r="C32" s="8">
        <v>1</v>
      </c>
      <c r="D32" s="8">
        <v>1</v>
      </c>
      <c r="E32" s="8">
        <v>1</v>
      </c>
      <c r="F32" s="7">
        <f t="shared" si="0"/>
        <v>3</v>
      </c>
      <c r="G32" s="18">
        <v>2</v>
      </c>
      <c r="H32" s="18">
        <v>569</v>
      </c>
      <c r="I32" s="19">
        <f t="shared" si="1"/>
        <v>284.5</v>
      </c>
      <c r="J32" s="18">
        <v>170700</v>
      </c>
      <c r="K32" s="18">
        <v>322055</v>
      </c>
      <c r="L32" s="20">
        <f t="shared" si="2"/>
        <v>0.39295580110497236</v>
      </c>
      <c r="M32" s="11">
        <v>2</v>
      </c>
      <c r="N32" s="11">
        <v>2489</v>
      </c>
      <c r="O32" s="9">
        <f t="shared" si="14"/>
        <v>1244.5</v>
      </c>
      <c r="P32" s="11">
        <v>746700</v>
      </c>
      <c r="Q32" s="11">
        <v>386989</v>
      </c>
      <c r="R32" s="21">
        <f t="shared" si="4"/>
        <v>1.5364197530864196</v>
      </c>
      <c r="S32" s="14">
        <v>2</v>
      </c>
      <c r="T32" s="14">
        <v>1520</v>
      </c>
      <c r="U32" s="15">
        <f t="shared" si="15"/>
        <v>760</v>
      </c>
      <c r="V32" s="14">
        <f t="shared" si="16"/>
        <v>456000</v>
      </c>
      <c r="W32" s="14">
        <v>460093</v>
      </c>
      <c r="X32" s="15">
        <f t="shared" si="7"/>
        <v>0.93711467324290998</v>
      </c>
      <c r="Y32" s="24">
        <f t="shared" si="8"/>
        <v>0.95549674247810057</v>
      </c>
    </row>
    <row r="33" spans="1:25" ht="16" x14ac:dyDescent="0.2">
      <c r="A33" s="8">
        <v>32</v>
      </c>
      <c r="B33" s="3" t="s">
        <v>27</v>
      </c>
      <c r="C33" s="8">
        <v>1</v>
      </c>
      <c r="D33" s="8">
        <v>1</v>
      </c>
      <c r="E33" s="8">
        <v>1</v>
      </c>
      <c r="F33" s="7">
        <f t="shared" si="0"/>
        <v>3</v>
      </c>
      <c r="G33" s="18">
        <v>1</v>
      </c>
      <c r="H33" s="18">
        <v>994</v>
      </c>
      <c r="I33" s="19">
        <f t="shared" si="1"/>
        <v>994</v>
      </c>
      <c r="J33" s="18">
        <v>298200</v>
      </c>
      <c r="K33" s="18">
        <v>294000</v>
      </c>
      <c r="L33" s="20">
        <f t="shared" si="2"/>
        <v>1.3729281767955801</v>
      </c>
      <c r="M33" s="11">
        <v>2</v>
      </c>
      <c r="N33" s="11">
        <v>1281</v>
      </c>
      <c r="O33" s="9">
        <f t="shared" si="14"/>
        <v>640.5</v>
      </c>
      <c r="P33" s="11">
        <v>384300</v>
      </c>
      <c r="Q33" s="11">
        <v>308354</v>
      </c>
      <c r="R33" s="21">
        <f t="shared" si="4"/>
        <v>0.79074074074074074</v>
      </c>
      <c r="S33" s="14">
        <v>1.5</v>
      </c>
      <c r="T33" s="14">
        <v>890</v>
      </c>
      <c r="U33" s="15">
        <f t="shared" si="15"/>
        <v>593.33333333333337</v>
      </c>
      <c r="V33" s="14">
        <f t="shared" si="16"/>
        <v>267000</v>
      </c>
      <c r="W33" s="14">
        <v>237681</v>
      </c>
      <c r="X33" s="15">
        <f t="shared" si="7"/>
        <v>0.73160706946157017</v>
      </c>
      <c r="Y33" s="24">
        <f t="shared" si="8"/>
        <v>0.96509199566596371</v>
      </c>
    </row>
    <row r="34" spans="1:25" ht="16" x14ac:dyDescent="0.2">
      <c r="A34" s="8">
        <v>33</v>
      </c>
      <c r="B34" s="3" t="s">
        <v>106</v>
      </c>
      <c r="C34" s="8">
        <v>1</v>
      </c>
      <c r="D34" s="8">
        <v>0</v>
      </c>
      <c r="E34" s="8">
        <v>0</v>
      </c>
      <c r="F34" s="7">
        <f t="shared" ref="F34:F65" si="17">C34+D34+E34</f>
        <v>1</v>
      </c>
      <c r="G34" s="18">
        <v>1</v>
      </c>
      <c r="H34" s="18">
        <v>914</v>
      </c>
      <c r="I34" s="19">
        <f t="shared" ref="I34:I65" si="18">H34/G34</f>
        <v>914</v>
      </c>
      <c r="J34" s="18">
        <v>274200</v>
      </c>
      <c r="K34" s="18">
        <v>147022</v>
      </c>
      <c r="L34" s="20">
        <f t="shared" ref="L34:L65" si="19">I34/724</f>
        <v>1.2624309392265194</v>
      </c>
      <c r="M34" s="11"/>
      <c r="N34" s="11"/>
      <c r="O34" s="9"/>
      <c r="P34" s="11"/>
      <c r="Q34" s="11"/>
      <c r="R34" s="21"/>
      <c r="S34" s="14"/>
      <c r="T34" s="14"/>
      <c r="U34" s="15"/>
      <c r="V34" s="14"/>
      <c r="W34" s="14"/>
      <c r="X34" s="15"/>
      <c r="Y34" s="24">
        <f t="shared" si="8"/>
        <v>1.2624309392265194</v>
      </c>
    </row>
    <row r="35" spans="1:25" ht="16" x14ac:dyDescent="0.2">
      <c r="A35" s="8">
        <v>34</v>
      </c>
      <c r="B35" s="3" t="s">
        <v>107</v>
      </c>
      <c r="C35" s="8">
        <v>1</v>
      </c>
      <c r="D35" s="8">
        <v>0</v>
      </c>
      <c r="E35" s="8">
        <v>0</v>
      </c>
      <c r="F35" s="7">
        <f t="shared" si="17"/>
        <v>1</v>
      </c>
      <c r="G35" s="18">
        <v>4</v>
      </c>
      <c r="H35" s="18">
        <v>2155</v>
      </c>
      <c r="I35" s="19">
        <f t="shared" si="18"/>
        <v>538.75</v>
      </c>
      <c r="J35" s="18">
        <v>646500</v>
      </c>
      <c r="K35" s="18">
        <v>595066</v>
      </c>
      <c r="L35" s="20">
        <f t="shared" si="19"/>
        <v>0.7441298342541437</v>
      </c>
      <c r="M35" s="11"/>
      <c r="N35" s="11"/>
      <c r="O35" s="9"/>
      <c r="P35" s="11"/>
      <c r="Q35" s="11"/>
      <c r="R35" s="21"/>
      <c r="S35" s="14"/>
      <c r="T35" s="14"/>
      <c r="U35" s="15"/>
      <c r="V35" s="14"/>
      <c r="W35" s="14"/>
      <c r="X35" s="15"/>
      <c r="Y35" s="24">
        <f t="shared" si="8"/>
        <v>0.7441298342541437</v>
      </c>
    </row>
    <row r="36" spans="1:25" ht="16" x14ac:dyDescent="0.2">
      <c r="A36" s="8">
        <v>35</v>
      </c>
      <c r="B36" s="3" t="s">
        <v>28</v>
      </c>
      <c r="C36" s="8">
        <v>1</v>
      </c>
      <c r="D36" s="8">
        <v>1</v>
      </c>
      <c r="E36" s="8">
        <v>1</v>
      </c>
      <c r="F36" s="7">
        <f t="shared" si="17"/>
        <v>3</v>
      </c>
      <c r="G36" s="18">
        <v>1.5</v>
      </c>
      <c r="H36" s="18">
        <v>1710</v>
      </c>
      <c r="I36" s="19">
        <f t="shared" si="18"/>
        <v>1140</v>
      </c>
      <c r="J36" s="18">
        <v>513000</v>
      </c>
      <c r="K36" s="18">
        <v>283544</v>
      </c>
      <c r="L36" s="20">
        <f t="shared" si="19"/>
        <v>1.5745856353591161</v>
      </c>
      <c r="M36" s="11">
        <v>1.5</v>
      </c>
      <c r="N36" s="11">
        <v>881</v>
      </c>
      <c r="O36" s="9">
        <f>N36/M36</f>
        <v>587.33333333333337</v>
      </c>
      <c r="P36" s="11">
        <v>264300</v>
      </c>
      <c r="Q36" s="11">
        <v>220165</v>
      </c>
      <c r="R36" s="21">
        <f t="shared" si="4"/>
        <v>0.72510288065843631</v>
      </c>
      <c r="S36" s="14">
        <v>1.25</v>
      </c>
      <c r="T36" s="14">
        <v>1558</v>
      </c>
      <c r="U36" s="15">
        <f>T36/S36</f>
        <v>1246.4000000000001</v>
      </c>
      <c r="V36" s="14">
        <f>T36*300</f>
        <v>467400</v>
      </c>
      <c r="W36" s="14">
        <v>283696</v>
      </c>
      <c r="X36" s="15">
        <f t="shared" si="7"/>
        <v>1.5368680641183725</v>
      </c>
      <c r="Y36" s="24">
        <f t="shared" si="8"/>
        <v>1.2788521933786416</v>
      </c>
    </row>
    <row r="37" spans="1:25" ht="16" x14ac:dyDescent="0.2">
      <c r="A37" s="8">
        <v>36</v>
      </c>
      <c r="B37" s="3" t="s">
        <v>29</v>
      </c>
      <c r="C37" s="8">
        <v>1</v>
      </c>
      <c r="D37" s="8">
        <v>1</v>
      </c>
      <c r="E37" s="8">
        <v>1</v>
      </c>
      <c r="F37" s="7">
        <f t="shared" si="17"/>
        <v>3</v>
      </c>
      <c r="G37" s="18">
        <v>1</v>
      </c>
      <c r="H37" s="18">
        <v>616</v>
      </c>
      <c r="I37" s="19">
        <f t="shared" si="18"/>
        <v>616</v>
      </c>
      <c r="J37" s="18">
        <v>184800</v>
      </c>
      <c r="K37" s="18">
        <v>140011</v>
      </c>
      <c r="L37" s="20">
        <f t="shared" si="19"/>
        <v>0.850828729281768</v>
      </c>
      <c r="M37" s="11">
        <v>1</v>
      </c>
      <c r="N37" s="11">
        <v>45</v>
      </c>
      <c r="O37" s="9">
        <f>N37/M37</f>
        <v>45</v>
      </c>
      <c r="P37" s="11">
        <v>13500</v>
      </c>
      <c r="Q37" s="11">
        <v>87500</v>
      </c>
      <c r="R37" s="21">
        <f t="shared" si="4"/>
        <v>5.5555555555555552E-2</v>
      </c>
      <c r="S37" s="14">
        <v>1</v>
      </c>
      <c r="T37" s="14">
        <v>614</v>
      </c>
      <c r="U37" s="15">
        <f>T37/S37</f>
        <v>614</v>
      </c>
      <c r="V37" s="14">
        <f>T37*300</f>
        <v>184200</v>
      </c>
      <c r="W37" s="14">
        <v>112853</v>
      </c>
      <c r="X37" s="15">
        <f t="shared" si="7"/>
        <v>0.75709001233045625</v>
      </c>
      <c r="Y37" s="24">
        <f t="shared" si="8"/>
        <v>0.55449143238925991</v>
      </c>
    </row>
    <row r="38" spans="1:25" ht="16" x14ac:dyDescent="0.2">
      <c r="A38" s="8">
        <v>37</v>
      </c>
      <c r="B38" s="3" t="s">
        <v>30</v>
      </c>
      <c r="C38" s="8">
        <v>1</v>
      </c>
      <c r="D38" s="8">
        <v>1</v>
      </c>
      <c r="E38" s="8">
        <v>1</v>
      </c>
      <c r="F38" s="7">
        <f t="shared" si="17"/>
        <v>3</v>
      </c>
      <c r="G38" s="18">
        <v>3</v>
      </c>
      <c r="H38" s="18">
        <v>2401</v>
      </c>
      <c r="I38" s="19">
        <f t="shared" si="18"/>
        <v>800.33333333333337</v>
      </c>
      <c r="J38" s="18">
        <v>720300</v>
      </c>
      <c r="K38" s="18">
        <v>427066</v>
      </c>
      <c r="L38" s="20">
        <f t="shared" si="19"/>
        <v>1.1054327808471456</v>
      </c>
      <c r="M38" s="11">
        <v>4</v>
      </c>
      <c r="N38" s="11">
        <v>4840</v>
      </c>
      <c r="O38" s="9">
        <f>N38/M38</f>
        <v>1210</v>
      </c>
      <c r="P38" s="11">
        <v>1452000</v>
      </c>
      <c r="Q38" s="11">
        <v>569042</v>
      </c>
      <c r="R38" s="21">
        <f t="shared" si="4"/>
        <v>1.4938271604938271</v>
      </c>
      <c r="S38" s="14">
        <v>5</v>
      </c>
      <c r="T38" s="14">
        <v>4890</v>
      </c>
      <c r="U38" s="15">
        <f>T38/S38</f>
        <v>978</v>
      </c>
      <c r="V38" s="14">
        <f>T38*300</f>
        <v>1467000</v>
      </c>
      <c r="W38" s="14">
        <v>572670</v>
      </c>
      <c r="X38" s="15">
        <f t="shared" si="7"/>
        <v>1.2059186189889026</v>
      </c>
      <c r="Y38" s="24">
        <f t="shared" si="8"/>
        <v>1.2683928534432918</v>
      </c>
    </row>
    <row r="39" spans="1:25" ht="16" x14ac:dyDescent="0.2">
      <c r="A39" s="8">
        <v>38</v>
      </c>
      <c r="B39" s="3" t="s">
        <v>31</v>
      </c>
      <c r="C39" s="8">
        <v>1</v>
      </c>
      <c r="D39" s="8">
        <v>1</v>
      </c>
      <c r="E39" s="8">
        <v>1</v>
      </c>
      <c r="F39" s="7">
        <f t="shared" si="17"/>
        <v>3</v>
      </c>
      <c r="G39" s="18">
        <v>1</v>
      </c>
      <c r="H39" s="18">
        <v>381</v>
      </c>
      <c r="I39" s="19">
        <f t="shared" si="18"/>
        <v>381</v>
      </c>
      <c r="J39" s="18">
        <v>114300</v>
      </c>
      <c r="K39" s="18">
        <v>112000</v>
      </c>
      <c r="L39" s="20">
        <f t="shared" si="19"/>
        <v>0.52624309392265189</v>
      </c>
      <c r="M39" s="11">
        <v>1</v>
      </c>
      <c r="N39" s="11">
        <v>567</v>
      </c>
      <c r="O39" s="9">
        <f>N39/M39</f>
        <v>567</v>
      </c>
      <c r="P39" s="11">
        <v>170100</v>
      </c>
      <c r="Q39" s="11">
        <v>191712</v>
      </c>
      <c r="R39" s="21">
        <f t="shared" si="4"/>
        <v>0.7</v>
      </c>
      <c r="S39" s="14">
        <v>1</v>
      </c>
      <c r="T39" s="14">
        <v>793</v>
      </c>
      <c r="U39" s="15">
        <f>T39/S39</f>
        <v>793</v>
      </c>
      <c r="V39" s="14">
        <f>T39*300</f>
        <v>237900</v>
      </c>
      <c r="W39" s="14">
        <v>213890</v>
      </c>
      <c r="X39" s="15">
        <f t="shared" si="7"/>
        <v>0.97780517879161533</v>
      </c>
      <c r="Y39" s="24">
        <f t="shared" si="8"/>
        <v>0.73468275757142243</v>
      </c>
    </row>
    <row r="40" spans="1:25" ht="16" x14ac:dyDescent="0.2">
      <c r="A40" s="8">
        <v>39</v>
      </c>
      <c r="B40" s="3" t="s">
        <v>108</v>
      </c>
      <c r="C40" s="8">
        <v>1</v>
      </c>
      <c r="D40" s="8">
        <v>0</v>
      </c>
      <c r="E40" s="8">
        <v>0</v>
      </c>
      <c r="F40" s="7">
        <f t="shared" si="17"/>
        <v>1</v>
      </c>
      <c r="G40" s="18">
        <v>1</v>
      </c>
      <c r="H40" s="18">
        <v>582</v>
      </c>
      <c r="I40" s="19">
        <f t="shared" si="18"/>
        <v>582</v>
      </c>
      <c r="J40" s="18">
        <v>174600</v>
      </c>
      <c r="K40" s="18">
        <v>259522</v>
      </c>
      <c r="L40" s="20">
        <f t="shared" si="19"/>
        <v>0.80386740331491713</v>
      </c>
      <c r="M40" s="11"/>
      <c r="N40" s="11"/>
      <c r="O40" s="9"/>
      <c r="P40" s="11"/>
      <c r="Q40" s="11"/>
      <c r="R40" s="21"/>
      <c r="S40" s="14"/>
      <c r="T40" s="14"/>
      <c r="U40" s="15"/>
      <c r="V40" s="14"/>
      <c r="W40" s="14"/>
      <c r="X40" s="15"/>
      <c r="Y40" s="24">
        <f t="shared" si="8"/>
        <v>0.80386740331491713</v>
      </c>
    </row>
    <row r="41" spans="1:25" ht="16" x14ac:dyDescent="0.2">
      <c r="A41" s="8">
        <v>40</v>
      </c>
      <c r="B41" s="3" t="s">
        <v>94</v>
      </c>
      <c r="C41" s="8">
        <v>1</v>
      </c>
      <c r="D41" s="8">
        <v>1</v>
      </c>
      <c r="E41" s="8">
        <v>0</v>
      </c>
      <c r="F41" s="7">
        <f t="shared" si="17"/>
        <v>2</v>
      </c>
      <c r="G41" s="18">
        <v>6</v>
      </c>
      <c r="H41" s="18">
        <v>4860</v>
      </c>
      <c r="I41" s="19">
        <f t="shared" si="18"/>
        <v>810</v>
      </c>
      <c r="J41" s="18">
        <v>1458000</v>
      </c>
      <c r="K41" s="18">
        <v>885654</v>
      </c>
      <c r="L41" s="20">
        <f t="shared" si="19"/>
        <v>1.1187845303867403</v>
      </c>
      <c r="M41" s="11">
        <v>6</v>
      </c>
      <c r="N41" s="11">
        <v>7180</v>
      </c>
      <c r="O41" s="9">
        <f t="shared" ref="O41:O46" si="20">N41/M41</f>
        <v>1196.6666666666667</v>
      </c>
      <c r="P41" s="11">
        <v>2154000</v>
      </c>
      <c r="Q41" s="11">
        <v>969040</v>
      </c>
      <c r="R41" s="21">
        <f t="shared" si="4"/>
        <v>1.477366255144033</v>
      </c>
      <c r="S41" s="14"/>
      <c r="T41" s="14"/>
      <c r="U41" s="15"/>
      <c r="V41" s="14"/>
      <c r="W41" s="14"/>
      <c r="X41" s="15"/>
      <c r="Y41" s="24">
        <f t="shared" si="8"/>
        <v>1.2980753927653867</v>
      </c>
    </row>
    <row r="42" spans="1:25" ht="16" x14ac:dyDescent="0.2">
      <c r="A42" s="8">
        <v>41</v>
      </c>
      <c r="B42" s="3" t="s">
        <v>95</v>
      </c>
      <c r="C42" s="8">
        <v>1</v>
      </c>
      <c r="D42" s="8">
        <v>1</v>
      </c>
      <c r="E42" s="8">
        <v>0</v>
      </c>
      <c r="F42" s="7">
        <f t="shared" si="17"/>
        <v>2</v>
      </c>
      <c r="G42" s="18">
        <v>1</v>
      </c>
      <c r="H42" s="18">
        <v>653</v>
      </c>
      <c r="I42" s="19">
        <f t="shared" si="18"/>
        <v>653</v>
      </c>
      <c r="J42" s="18">
        <v>195900</v>
      </c>
      <c r="K42" s="18">
        <v>105011</v>
      </c>
      <c r="L42" s="20">
        <f t="shared" si="19"/>
        <v>0.90193370165745856</v>
      </c>
      <c r="M42" s="11">
        <v>1</v>
      </c>
      <c r="N42" s="11">
        <v>652</v>
      </c>
      <c r="O42" s="9">
        <f t="shared" si="20"/>
        <v>652</v>
      </c>
      <c r="P42" s="11">
        <v>195600</v>
      </c>
      <c r="Q42" s="11">
        <v>146467</v>
      </c>
      <c r="R42" s="21">
        <f t="shared" si="4"/>
        <v>0.80493827160493825</v>
      </c>
      <c r="S42" s="14"/>
      <c r="T42" s="14"/>
      <c r="U42" s="15"/>
      <c r="V42" s="14"/>
      <c r="W42" s="14"/>
      <c r="X42" s="15"/>
      <c r="Y42" s="24">
        <f t="shared" si="8"/>
        <v>0.85343598663119846</v>
      </c>
    </row>
    <row r="43" spans="1:25" ht="16" x14ac:dyDescent="0.2">
      <c r="A43" s="8">
        <v>42</v>
      </c>
      <c r="B43" s="3" t="s">
        <v>32</v>
      </c>
      <c r="C43" s="8">
        <v>1</v>
      </c>
      <c r="D43" s="8">
        <v>1</v>
      </c>
      <c r="E43" s="8">
        <v>1</v>
      </c>
      <c r="F43" s="7">
        <f t="shared" si="17"/>
        <v>3</v>
      </c>
      <c r="G43" s="18">
        <v>1.5</v>
      </c>
      <c r="H43" s="18">
        <v>853</v>
      </c>
      <c r="I43" s="19">
        <f t="shared" si="18"/>
        <v>568.66666666666663</v>
      </c>
      <c r="J43" s="18">
        <v>255900</v>
      </c>
      <c r="K43" s="18">
        <v>192522</v>
      </c>
      <c r="L43" s="20">
        <f t="shared" si="19"/>
        <v>0.78545119705340694</v>
      </c>
      <c r="M43" s="11">
        <v>1.5</v>
      </c>
      <c r="N43" s="11">
        <v>980</v>
      </c>
      <c r="O43" s="9">
        <f t="shared" si="20"/>
        <v>653.33333333333337</v>
      </c>
      <c r="P43" s="11">
        <v>294000</v>
      </c>
      <c r="Q43" s="11">
        <v>248451</v>
      </c>
      <c r="R43" s="21">
        <f t="shared" si="4"/>
        <v>0.80658436213991769</v>
      </c>
      <c r="S43" s="14">
        <v>2</v>
      </c>
      <c r="T43" s="14">
        <v>1005</v>
      </c>
      <c r="U43" s="15">
        <f>T43/S43</f>
        <v>502.5</v>
      </c>
      <c r="V43" s="14">
        <f>T43*300</f>
        <v>301500</v>
      </c>
      <c r="W43" s="14">
        <v>263526</v>
      </c>
      <c r="X43" s="15">
        <f t="shared" si="7"/>
        <v>0.61960542540073982</v>
      </c>
      <c r="Y43" s="24">
        <f t="shared" si="8"/>
        <v>0.73721366153135481</v>
      </c>
    </row>
    <row r="44" spans="1:25" ht="16" x14ac:dyDescent="0.2">
      <c r="A44" s="8">
        <v>43</v>
      </c>
      <c r="B44" s="3" t="s">
        <v>33</v>
      </c>
      <c r="C44" s="8">
        <v>1</v>
      </c>
      <c r="D44" s="8">
        <v>1</v>
      </c>
      <c r="E44" s="8">
        <v>1</v>
      </c>
      <c r="F44" s="7">
        <f t="shared" si="17"/>
        <v>3</v>
      </c>
      <c r="G44" s="18">
        <v>1</v>
      </c>
      <c r="H44" s="18">
        <v>792</v>
      </c>
      <c r="I44" s="19">
        <f t="shared" si="18"/>
        <v>792</v>
      </c>
      <c r="J44" s="18">
        <v>237600</v>
      </c>
      <c r="K44" s="18">
        <v>129511</v>
      </c>
      <c r="L44" s="20">
        <f t="shared" si="19"/>
        <v>1.0939226519337018</v>
      </c>
      <c r="M44" s="11">
        <v>1.5</v>
      </c>
      <c r="N44" s="11">
        <v>528</v>
      </c>
      <c r="O44" s="9">
        <f t="shared" si="20"/>
        <v>352</v>
      </c>
      <c r="P44" s="11">
        <v>158400</v>
      </c>
      <c r="Q44" s="11">
        <v>121584</v>
      </c>
      <c r="R44" s="21">
        <f t="shared" si="4"/>
        <v>0.4345679012345679</v>
      </c>
      <c r="S44" s="14">
        <v>1</v>
      </c>
      <c r="T44" s="14">
        <v>387</v>
      </c>
      <c r="U44" s="15">
        <f>T44/S44</f>
        <v>387</v>
      </c>
      <c r="V44" s="14">
        <f>T44*300</f>
        <v>116100</v>
      </c>
      <c r="W44" s="14">
        <v>201672</v>
      </c>
      <c r="X44" s="15">
        <f t="shared" si="7"/>
        <v>0.47718865598027127</v>
      </c>
      <c r="Y44" s="24">
        <f t="shared" si="8"/>
        <v>0.66855973638284694</v>
      </c>
    </row>
    <row r="45" spans="1:25" ht="16" x14ac:dyDescent="0.2">
      <c r="A45" s="8">
        <v>44</v>
      </c>
      <c r="B45" s="3" t="s">
        <v>34</v>
      </c>
      <c r="C45" s="8">
        <v>1</v>
      </c>
      <c r="D45" s="8">
        <v>1</v>
      </c>
      <c r="E45" s="8">
        <v>1</v>
      </c>
      <c r="F45" s="7">
        <f t="shared" si="17"/>
        <v>3</v>
      </c>
      <c r="G45" s="18">
        <v>1</v>
      </c>
      <c r="H45" s="18">
        <v>1303</v>
      </c>
      <c r="I45" s="19">
        <f t="shared" si="18"/>
        <v>1303</v>
      </c>
      <c r="J45" s="18">
        <v>390900</v>
      </c>
      <c r="K45" s="18">
        <v>231055</v>
      </c>
      <c r="L45" s="20">
        <f t="shared" si="19"/>
        <v>1.7997237569060773</v>
      </c>
      <c r="M45" s="11">
        <v>2</v>
      </c>
      <c r="N45" s="11">
        <v>1500</v>
      </c>
      <c r="O45" s="9">
        <f t="shared" si="20"/>
        <v>750</v>
      </c>
      <c r="P45" s="11">
        <v>450000</v>
      </c>
      <c r="Q45" s="11">
        <v>287011</v>
      </c>
      <c r="R45" s="21">
        <f t="shared" si="4"/>
        <v>0.92592592592592593</v>
      </c>
      <c r="S45" s="14">
        <v>2</v>
      </c>
      <c r="T45" s="14">
        <v>1698</v>
      </c>
      <c r="U45" s="15">
        <f>T45/S45</f>
        <v>849</v>
      </c>
      <c r="V45" s="14">
        <f>T45*300</f>
        <v>509400</v>
      </c>
      <c r="W45" s="14">
        <v>310116</v>
      </c>
      <c r="X45" s="15">
        <f t="shared" si="7"/>
        <v>1.0468557336621456</v>
      </c>
      <c r="Y45" s="24">
        <f t="shared" si="8"/>
        <v>1.2575018054980496</v>
      </c>
    </row>
    <row r="46" spans="1:25" ht="16" x14ac:dyDescent="0.2">
      <c r="A46" s="8">
        <v>45</v>
      </c>
      <c r="B46" s="3" t="s">
        <v>35</v>
      </c>
      <c r="C46" s="8">
        <v>1</v>
      </c>
      <c r="D46" s="8">
        <v>1</v>
      </c>
      <c r="E46" s="8">
        <v>1</v>
      </c>
      <c r="F46" s="7">
        <f t="shared" si="17"/>
        <v>3</v>
      </c>
      <c r="G46" s="18">
        <v>7</v>
      </c>
      <c r="H46" s="18">
        <v>7140</v>
      </c>
      <c r="I46" s="19">
        <f t="shared" si="18"/>
        <v>1020</v>
      </c>
      <c r="J46" s="18">
        <v>2142000</v>
      </c>
      <c r="K46" s="18">
        <v>490110</v>
      </c>
      <c r="L46" s="20">
        <f t="shared" si="19"/>
        <v>1.4088397790055249</v>
      </c>
      <c r="M46" s="11">
        <v>10</v>
      </c>
      <c r="N46" s="11">
        <v>11680</v>
      </c>
      <c r="O46" s="9">
        <f t="shared" si="20"/>
        <v>1168</v>
      </c>
      <c r="P46" s="11">
        <v>3504000</v>
      </c>
      <c r="Q46" s="11">
        <v>1167150</v>
      </c>
      <c r="R46" s="21">
        <f t="shared" si="4"/>
        <v>1.4419753086419753</v>
      </c>
      <c r="S46" s="14">
        <v>8</v>
      </c>
      <c r="T46" s="14">
        <v>15880</v>
      </c>
      <c r="U46" s="15">
        <f>T46/S46</f>
        <v>1985</v>
      </c>
      <c r="V46" s="14">
        <f>T46*300</f>
        <v>4764000</v>
      </c>
      <c r="W46" s="14">
        <v>1418140</v>
      </c>
      <c r="X46" s="15">
        <f t="shared" si="7"/>
        <v>2.4475955610357585</v>
      </c>
      <c r="Y46" s="24">
        <f t="shared" si="8"/>
        <v>1.7661368828944195</v>
      </c>
    </row>
    <row r="47" spans="1:25" ht="16" x14ac:dyDescent="0.2">
      <c r="A47" s="8">
        <v>46</v>
      </c>
      <c r="B47" s="3" t="s">
        <v>109</v>
      </c>
      <c r="C47" s="8">
        <v>1</v>
      </c>
      <c r="D47" s="8">
        <v>0</v>
      </c>
      <c r="E47" s="8">
        <v>0</v>
      </c>
      <c r="F47" s="7">
        <f t="shared" si="17"/>
        <v>1</v>
      </c>
      <c r="G47" s="18">
        <v>2</v>
      </c>
      <c r="H47" s="18">
        <v>986</v>
      </c>
      <c r="I47" s="19">
        <f t="shared" si="18"/>
        <v>493</v>
      </c>
      <c r="J47" s="18">
        <v>295800</v>
      </c>
      <c r="K47" s="18">
        <v>157511</v>
      </c>
      <c r="L47" s="20">
        <f t="shared" si="19"/>
        <v>0.68093922651933703</v>
      </c>
      <c r="M47" s="11"/>
      <c r="N47" s="11"/>
      <c r="O47" s="9"/>
      <c r="P47" s="11"/>
      <c r="Q47" s="11"/>
      <c r="R47" s="21"/>
      <c r="S47" s="14"/>
      <c r="T47" s="14"/>
      <c r="U47" s="15"/>
      <c r="V47" s="14"/>
      <c r="W47" s="14"/>
      <c r="X47" s="15"/>
      <c r="Y47" s="24">
        <f t="shared" si="8"/>
        <v>0.68093922651933703</v>
      </c>
    </row>
    <row r="48" spans="1:25" ht="16" x14ac:dyDescent="0.2">
      <c r="A48" s="8">
        <v>47</v>
      </c>
      <c r="B48" s="3" t="s">
        <v>36</v>
      </c>
      <c r="C48" s="8">
        <v>1</v>
      </c>
      <c r="D48" s="8">
        <v>1</v>
      </c>
      <c r="E48" s="8">
        <v>1</v>
      </c>
      <c r="F48" s="7">
        <f t="shared" si="17"/>
        <v>3</v>
      </c>
      <c r="G48" s="18">
        <v>1</v>
      </c>
      <c r="H48" s="18">
        <v>334</v>
      </c>
      <c r="I48" s="19">
        <f t="shared" si="18"/>
        <v>334</v>
      </c>
      <c r="J48" s="18">
        <v>100200</v>
      </c>
      <c r="K48" s="18">
        <v>129511</v>
      </c>
      <c r="L48" s="20">
        <f t="shared" si="19"/>
        <v>0.46132596685082872</v>
      </c>
      <c r="M48" s="11">
        <v>1</v>
      </c>
      <c r="N48" s="11">
        <v>1083</v>
      </c>
      <c r="O48" s="9">
        <f>N48/M48</f>
        <v>1083</v>
      </c>
      <c r="P48" s="11">
        <v>324900</v>
      </c>
      <c r="Q48" s="11">
        <v>127760</v>
      </c>
      <c r="R48" s="21">
        <f t="shared" si="4"/>
        <v>1.337037037037037</v>
      </c>
      <c r="S48" s="14">
        <v>1</v>
      </c>
      <c r="T48" s="14">
        <v>555</v>
      </c>
      <c r="U48" s="15">
        <f>T48/S48</f>
        <v>555</v>
      </c>
      <c r="V48" s="14">
        <f>T48*300</f>
        <v>166500</v>
      </c>
      <c r="W48" s="14">
        <v>150676</v>
      </c>
      <c r="X48" s="15">
        <f t="shared" si="7"/>
        <v>0.68434032059186189</v>
      </c>
      <c r="Y48" s="24">
        <f t="shared" si="8"/>
        <v>0.82756777482657584</v>
      </c>
    </row>
    <row r="49" spans="1:25" ht="16" x14ac:dyDescent="0.2">
      <c r="A49" s="8">
        <v>48</v>
      </c>
      <c r="B49" s="3" t="s">
        <v>110</v>
      </c>
      <c r="C49" s="8">
        <v>1</v>
      </c>
      <c r="D49" s="8">
        <v>0</v>
      </c>
      <c r="E49" s="8">
        <v>0</v>
      </c>
      <c r="F49" s="7">
        <f t="shared" si="17"/>
        <v>1</v>
      </c>
      <c r="G49" s="18">
        <v>3</v>
      </c>
      <c r="H49" s="18">
        <v>1254</v>
      </c>
      <c r="I49" s="19">
        <f t="shared" si="18"/>
        <v>418</v>
      </c>
      <c r="J49" s="18">
        <v>376200</v>
      </c>
      <c r="K49" s="18">
        <v>483033</v>
      </c>
      <c r="L49" s="20">
        <f t="shared" si="19"/>
        <v>0.57734806629834257</v>
      </c>
      <c r="M49" s="11"/>
      <c r="N49" s="11"/>
      <c r="O49" s="9"/>
      <c r="P49" s="11"/>
      <c r="Q49" s="11"/>
      <c r="R49" s="21"/>
      <c r="S49" s="14"/>
      <c r="T49" s="14"/>
      <c r="U49" s="15"/>
      <c r="V49" s="14"/>
      <c r="W49" s="14"/>
      <c r="X49" s="15"/>
      <c r="Y49" s="24">
        <f t="shared" si="8"/>
        <v>0.57734806629834257</v>
      </c>
    </row>
    <row r="50" spans="1:25" ht="16" x14ac:dyDescent="0.2">
      <c r="A50" s="8">
        <v>49</v>
      </c>
      <c r="B50" s="3" t="s">
        <v>37</v>
      </c>
      <c r="C50" s="8">
        <v>1</v>
      </c>
      <c r="D50" s="8">
        <v>1</v>
      </c>
      <c r="E50" s="8">
        <v>1</v>
      </c>
      <c r="F50" s="7">
        <f t="shared" si="17"/>
        <v>3</v>
      </c>
      <c r="G50" s="18">
        <v>1.5</v>
      </c>
      <c r="H50" s="18">
        <v>5660</v>
      </c>
      <c r="I50" s="19">
        <f t="shared" si="18"/>
        <v>3773.3333333333335</v>
      </c>
      <c r="J50" s="18">
        <v>1698000</v>
      </c>
      <c r="K50" s="18">
        <v>966143</v>
      </c>
      <c r="L50" s="20">
        <f t="shared" si="19"/>
        <v>5.2117863720073663</v>
      </c>
      <c r="M50" s="11">
        <v>5</v>
      </c>
      <c r="N50" s="11">
        <v>4580</v>
      </c>
      <c r="O50" s="9">
        <f>N50/M50</f>
        <v>916</v>
      </c>
      <c r="P50" s="11">
        <v>1374000</v>
      </c>
      <c r="Q50" s="11">
        <v>1053284</v>
      </c>
      <c r="R50" s="21">
        <f t="shared" si="4"/>
        <v>1.1308641975308642</v>
      </c>
      <c r="S50" s="14">
        <v>6</v>
      </c>
      <c r="T50" s="14">
        <v>12773</v>
      </c>
      <c r="U50" s="15">
        <f>T50/S50</f>
        <v>2128.8333333333335</v>
      </c>
      <c r="V50" s="14">
        <f>T50*300</f>
        <v>3831900</v>
      </c>
      <c r="W50" s="14">
        <v>1274374</v>
      </c>
      <c r="X50" s="15">
        <f t="shared" si="7"/>
        <v>2.6249486230990549</v>
      </c>
      <c r="Y50" s="24">
        <f t="shared" si="8"/>
        <v>2.9891997308790952</v>
      </c>
    </row>
    <row r="51" spans="1:25" ht="16" x14ac:dyDescent="0.2">
      <c r="A51" s="8">
        <v>50</v>
      </c>
      <c r="B51" s="3" t="s">
        <v>38</v>
      </c>
      <c r="C51" s="8">
        <v>1</v>
      </c>
      <c r="D51" s="8">
        <v>1</v>
      </c>
      <c r="E51" s="8">
        <v>1</v>
      </c>
      <c r="F51" s="7">
        <f t="shared" si="17"/>
        <v>3</v>
      </c>
      <c r="G51" s="18">
        <v>4</v>
      </c>
      <c r="H51" s="18">
        <v>3742</v>
      </c>
      <c r="I51" s="19">
        <f t="shared" si="18"/>
        <v>935.5</v>
      </c>
      <c r="J51" s="18">
        <v>1122600</v>
      </c>
      <c r="K51" s="18">
        <v>651055</v>
      </c>
      <c r="L51" s="20">
        <f t="shared" si="19"/>
        <v>1.2921270718232045</v>
      </c>
      <c r="M51" s="11">
        <v>9</v>
      </c>
      <c r="N51" s="11">
        <v>9548</v>
      </c>
      <c r="O51" s="9">
        <f>N51/M51</f>
        <v>1060.8888888888889</v>
      </c>
      <c r="P51" s="11">
        <v>2864400</v>
      </c>
      <c r="Q51" s="11">
        <v>1426677</v>
      </c>
      <c r="R51" s="21">
        <f t="shared" si="4"/>
        <v>1.3097393689986283</v>
      </c>
      <c r="S51" s="14">
        <v>12</v>
      </c>
      <c r="T51" s="14">
        <v>12478</v>
      </c>
      <c r="U51" s="15">
        <f>T51/S51</f>
        <v>1039.8333333333333</v>
      </c>
      <c r="V51" s="14">
        <f>T51*300</f>
        <v>3743400</v>
      </c>
      <c r="W51" s="14">
        <v>2224000</v>
      </c>
      <c r="X51" s="15">
        <f t="shared" si="7"/>
        <v>1.2821619399917796</v>
      </c>
      <c r="Y51" s="24">
        <f t="shared" si="8"/>
        <v>1.2946761269378708</v>
      </c>
    </row>
    <row r="52" spans="1:25" ht="16" x14ac:dyDescent="0.2">
      <c r="A52" s="8">
        <v>51</v>
      </c>
      <c r="B52" s="3" t="s">
        <v>39</v>
      </c>
      <c r="C52" s="8">
        <v>1</v>
      </c>
      <c r="D52" s="8">
        <v>1</v>
      </c>
      <c r="E52" s="8">
        <v>1</v>
      </c>
      <c r="F52" s="7">
        <f t="shared" si="17"/>
        <v>3</v>
      </c>
      <c r="G52" s="18">
        <v>3</v>
      </c>
      <c r="H52" s="18">
        <v>2191</v>
      </c>
      <c r="I52" s="19">
        <f t="shared" si="18"/>
        <v>730.33333333333337</v>
      </c>
      <c r="J52" s="18">
        <v>657300</v>
      </c>
      <c r="K52" s="18">
        <v>504055</v>
      </c>
      <c r="L52" s="20">
        <f t="shared" si="19"/>
        <v>1.0087476979742174</v>
      </c>
      <c r="M52" s="11">
        <v>3</v>
      </c>
      <c r="N52" s="11">
        <v>2020</v>
      </c>
      <c r="O52" s="9">
        <f>N52/M52</f>
        <v>673.33333333333337</v>
      </c>
      <c r="P52" s="11">
        <v>606000</v>
      </c>
      <c r="Q52" s="11">
        <v>525582</v>
      </c>
      <c r="R52" s="21">
        <f t="shared" si="4"/>
        <v>0.83127572016460916</v>
      </c>
      <c r="S52" s="14">
        <v>3</v>
      </c>
      <c r="T52" s="14">
        <v>2047</v>
      </c>
      <c r="U52" s="15">
        <f>T52/S52</f>
        <v>682.33333333333337</v>
      </c>
      <c r="V52" s="14">
        <f>T52*300</f>
        <v>614100</v>
      </c>
      <c r="W52" s="14">
        <v>513152</v>
      </c>
      <c r="X52" s="15">
        <f t="shared" si="7"/>
        <v>0.84134812988080565</v>
      </c>
      <c r="Y52" s="24">
        <f t="shared" si="8"/>
        <v>0.89379051600654413</v>
      </c>
    </row>
    <row r="53" spans="1:25" ht="16" x14ac:dyDescent="0.2">
      <c r="A53" s="8">
        <v>52</v>
      </c>
      <c r="B53" s="3" t="s">
        <v>40</v>
      </c>
      <c r="C53" s="8">
        <v>1</v>
      </c>
      <c r="D53" s="8">
        <v>1</v>
      </c>
      <c r="E53" s="8">
        <v>1</v>
      </c>
      <c r="F53" s="7">
        <f t="shared" si="17"/>
        <v>3</v>
      </c>
      <c r="G53" s="18">
        <v>1</v>
      </c>
      <c r="H53" s="18">
        <v>712</v>
      </c>
      <c r="I53" s="19">
        <f t="shared" si="18"/>
        <v>712</v>
      </c>
      <c r="J53" s="18">
        <v>213600</v>
      </c>
      <c r="K53" s="18">
        <v>213511</v>
      </c>
      <c r="L53" s="20">
        <f t="shared" si="19"/>
        <v>0.98342541436464093</v>
      </c>
      <c r="M53" s="11">
        <v>2</v>
      </c>
      <c r="N53" s="11">
        <v>1100</v>
      </c>
      <c r="O53" s="9">
        <f>N53/M53</f>
        <v>550</v>
      </c>
      <c r="P53" s="11">
        <v>330000</v>
      </c>
      <c r="Q53" s="11">
        <v>262811</v>
      </c>
      <c r="R53" s="21">
        <f t="shared" si="4"/>
        <v>0.67901234567901236</v>
      </c>
      <c r="S53" s="14">
        <v>2</v>
      </c>
      <c r="T53" s="14">
        <v>1291</v>
      </c>
      <c r="U53" s="15">
        <f>T53/S53</f>
        <v>645.5</v>
      </c>
      <c r="V53" s="14">
        <f>T53*300</f>
        <v>387300</v>
      </c>
      <c r="W53" s="14">
        <v>374384</v>
      </c>
      <c r="X53" s="15">
        <f t="shared" si="7"/>
        <v>0.79593094944512943</v>
      </c>
      <c r="Y53" s="24">
        <f t="shared" si="8"/>
        <v>0.81945623649626087</v>
      </c>
    </row>
    <row r="54" spans="1:25" ht="16" x14ac:dyDescent="0.2">
      <c r="A54" s="8">
        <v>53</v>
      </c>
      <c r="B54" s="3" t="s">
        <v>41</v>
      </c>
      <c r="C54" s="8">
        <v>1</v>
      </c>
      <c r="D54" s="8">
        <v>1</v>
      </c>
      <c r="E54" s="8">
        <v>1</v>
      </c>
      <c r="F54" s="7">
        <f t="shared" si="17"/>
        <v>3</v>
      </c>
      <c r="G54" s="18">
        <v>4</v>
      </c>
      <c r="H54" s="18">
        <v>5000</v>
      </c>
      <c r="I54" s="19">
        <f t="shared" si="18"/>
        <v>1250</v>
      </c>
      <c r="J54" s="18">
        <v>1500000</v>
      </c>
      <c r="K54" s="18">
        <v>726110</v>
      </c>
      <c r="L54" s="20">
        <f t="shared" si="19"/>
        <v>1.7265193370165746</v>
      </c>
      <c r="M54" s="11">
        <v>4</v>
      </c>
      <c r="N54" s="11">
        <v>7235</v>
      </c>
      <c r="O54" s="9">
        <f>N54/M54</f>
        <v>1808.75</v>
      </c>
      <c r="P54" s="11">
        <v>2170500</v>
      </c>
      <c r="Q54" s="11">
        <v>817238</v>
      </c>
      <c r="R54" s="21">
        <f t="shared" si="4"/>
        <v>2.2330246913580245</v>
      </c>
      <c r="S54" s="14">
        <v>7</v>
      </c>
      <c r="T54" s="14">
        <v>10850</v>
      </c>
      <c r="U54" s="15">
        <f>T54/S54</f>
        <v>1550</v>
      </c>
      <c r="V54" s="14">
        <f>T54*300</f>
        <v>3255000</v>
      </c>
      <c r="W54" s="14">
        <v>1048094</v>
      </c>
      <c r="X54" s="15">
        <f t="shared" si="7"/>
        <v>1.9112207151664611</v>
      </c>
      <c r="Y54" s="24">
        <f t="shared" si="8"/>
        <v>1.9569215811803533</v>
      </c>
    </row>
    <row r="55" spans="1:25" ht="16" x14ac:dyDescent="0.2">
      <c r="A55" s="8">
        <v>54</v>
      </c>
      <c r="B55" s="3" t="s">
        <v>111</v>
      </c>
      <c r="C55" s="8">
        <v>1</v>
      </c>
      <c r="D55" s="8">
        <v>0</v>
      </c>
      <c r="E55" s="8">
        <v>0</v>
      </c>
      <c r="F55" s="7">
        <f t="shared" si="17"/>
        <v>1</v>
      </c>
      <c r="G55" s="18">
        <v>0.75</v>
      </c>
      <c r="H55" s="18">
        <v>507</v>
      </c>
      <c r="I55" s="19">
        <f t="shared" si="18"/>
        <v>676</v>
      </c>
      <c r="J55" s="18">
        <v>152100</v>
      </c>
      <c r="K55" s="18">
        <v>66511</v>
      </c>
      <c r="L55" s="20">
        <f t="shared" si="19"/>
        <v>0.93370165745856348</v>
      </c>
      <c r="M55" s="11"/>
      <c r="N55" s="11"/>
      <c r="O55" s="9"/>
      <c r="P55" s="11"/>
      <c r="Q55" s="11"/>
      <c r="R55" s="21"/>
      <c r="S55" s="14"/>
      <c r="T55" s="14"/>
      <c r="U55" s="15"/>
      <c r="V55" s="14"/>
      <c r="W55" s="14"/>
      <c r="X55" s="15"/>
      <c r="Y55" s="24">
        <f t="shared" si="8"/>
        <v>0.93370165745856348</v>
      </c>
    </row>
    <row r="56" spans="1:25" ht="16" x14ac:dyDescent="0.2">
      <c r="A56" s="8">
        <v>55</v>
      </c>
      <c r="B56" s="3" t="s">
        <v>42</v>
      </c>
      <c r="C56" s="8">
        <v>1</v>
      </c>
      <c r="D56" s="8">
        <v>1</v>
      </c>
      <c r="E56" s="8">
        <v>1</v>
      </c>
      <c r="F56" s="7">
        <f t="shared" si="17"/>
        <v>3</v>
      </c>
      <c r="G56" s="18">
        <v>3</v>
      </c>
      <c r="H56" s="18">
        <v>2896</v>
      </c>
      <c r="I56" s="19">
        <f t="shared" si="18"/>
        <v>965.33333333333337</v>
      </c>
      <c r="J56" s="18">
        <v>868800</v>
      </c>
      <c r="K56" s="18">
        <v>367544</v>
      </c>
      <c r="L56" s="20">
        <f t="shared" si="19"/>
        <v>1.3333333333333335</v>
      </c>
      <c r="M56" s="11">
        <v>2</v>
      </c>
      <c r="N56" s="11">
        <v>1490</v>
      </c>
      <c r="O56" s="9">
        <f t="shared" ref="O56:O79" si="21">N56/M56</f>
        <v>745</v>
      </c>
      <c r="P56" s="11">
        <v>447000</v>
      </c>
      <c r="Q56" s="11">
        <v>401981</v>
      </c>
      <c r="R56" s="21">
        <f t="shared" si="4"/>
        <v>0.91975308641975306</v>
      </c>
      <c r="S56" s="14">
        <v>2</v>
      </c>
      <c r="T56" s="14">
        <v>1915</v>
      </c>
      <c r="U56" s="15">
        <f t="shared" ref="U56:U61" si="22">T56/S56</f>
        <v>957.5</v>
      </c>
      <c r="V56" s="14">
        <f t="shared" ref="V56:V61" si="23">T56*300</f>
        <v>574500</v>
      </c>
      <c r="W56" s="14">
        <v>345256</v>
      </c>
      <c r="X56" s="15">
        <f t="shared" si="7"/>
        <v>1.1806411837237978</v>
      </c>
      <c r="Y56" s="24">
        <f t="shared" si="8"/>
        <v>1.1445758678256281</v>
      </c>
    </row>
    <row r="57" spans="1:25" ht="16" x14ac:dyDescent="0.2">
      <c r="A57" s="8">
        <v>57</v>
      </c>
      <c r="B57" s="3" t="s">
        <v>43</v>
      </c>
      <c r="C57" s="8">
        <v>1</v>
      </c>
      <c r="D57" s="8">
        <v>1</v>
      </c>
      <c r="E57" s="8">
        <v>1</v>
      </c>
      <c r="F57" s="7">
        <f t="shared" si="17"/>
        <v>3</v>
      </c>
      <c r="G57" s="18">
        <v>1</v>
      </c>
      <c r="H57" s="18">
        <v>714</v>
      </c>
      <c r="I57" s="19">
        <f t="shared" si="18"/>
        <v>714</v>
      </c>
      <c r="J57" s="18">
        <v>214200</v>
      </c>
      <c r="K57" s="18">
        <v>189022</v>
      </c>
      <c r="L57" s="20">
        <f t="shared" si="19"/>
        <v>0.98618784530386738</v>
      </c>
      <c r="M57" s="11">
        <v>1.5</v>
      </c>
      <c r="N57" s="11">
        <v>6571</v>
      </c>
      <c r="O57" s="9">
        <f t="shared" si="21"/>
        <v>4380.666666666667</v>
      </c>
      <c r="P57" s="11">
        <v>1971300</v>
      </c>
      <c r="Q57" s="11">
        <v>209482</v>
      </c>
      <c r="R57" s="21">
        <f t="shared" si="4"/>
        <v>5.4082304526748972</v>
      </c>
      <c r="S57" s="14">
        <v>1.5</v>
      </c>
      <c r="T57" s="14">
        <v>929</v>
      </c>
      <c r="U57" s="15">
        <f t="shared" si="22"/>
        <v>619.33333333333337</v>
      </c>
      <c r="V57" s="14">
        <f t="shared" si="23"/>
        <v>278700</v>
      </c>
      <c r="W57" s="14">
        <v>217798</v>
      </c>
      <c r="X57" s="15">
        <f t="shared" si="7"/>
        <v>0.76366625565145918</v>
      </c>
      <c r="Y57" s="24">
        <f t="shared" si="8"/>
        <v>2.3860281845434077</v>
      </c>
    </row>
    <row r="58" spans="1:25" ht="16" x14ac:dyDescent="0.2">
      <c r="A58" s="8">
        <v>58</v>
      </c>
      <c r="B58" s="3" t="s">
        <v>44</v>
      </c>
      <c r="C58" s="8">
        <v>1</v>
      </c>
      <c r="D58" s="8">
        <v>1</v>
      </c>
      <c r="E58" s="8">
        <v>1</v>
      </c>
      <c r="F58" s="7">
        <f t="shared" si="17"/>
        <v>3</v>
      </c>
      <c r="G58" s="18">
        <v>2</v>
      </c>
      <c r="H58" s="18">
        <v>1414</v>
      </c>
      <c r="I58" s="19">
        <f t="shared" si="18"/>
        <v>707</v>
      </c>
      <c r="J58" s="18">
        <v>424200</v>
      </c>
      <c r="K58" s="18">
        <v>329033</v>
      </c>
      <c r="L58" s="20">
        <f t="shared" si="19"/>
        <v>0.97651933701657456</v>
      </c>
      <c r="M58" s="11">
        <v>2</v>
      </c>
      <c r="N58" s="11">
        <v>1842</v>
      </c>
      <c r="O58" s="9">
        <f t="shared" si="21"/>
        <v>921</v>
      </c>
      <c r="P58" s="11">
        <v>552600</v>
      </c>
      <c r="Q58" s="11">
        <v>356537</v>
      </c>
      <c r="R58" s="21">
        <f t="shared" si="4"/>
        <v>1.1370370370370371</v>
      </c>
      <c r="S58" s="14">
        <v>2</v>
      </c>
      <c r="T58" s="14">
        <v>1626</v>
      </c>
      <c r="U58" s="15">
        <f t="shared" si="22"/>
        <v>813</v>
      </c>
      <c r="V58" s="14">
        <f t="shared" si="23"/>
        <v>487800</v>
      </c>
      <c r="W58" s="14">
        <v>352900</v>
      </c>
      <c r="X58" s="15">
        <f t="shared" si="7"/>
        <v>1.002466091245376</v>
      </c>
      <c r="Y58" s="24">
        <f t="shared" si="8"/>
        <v>1.0386741550996625</v>
      </c>
    </row>
    <row r="59" spans="1:25" ht="16" x14ac:dyDescent="0.2">
      <c r="A59" s="8">
        <v>59</v>
      </c>
      <c r="B59" s="3" t="s">
        <v>45</v>
      </c>
      <c r="C59" s="8">
        <v>1</v>
      </c>
      <c r="D59" s="8">
        <v>1</v>
      </c>
      <c r="E59" s="8">
        <v>1</v>
      </c>
      <c r="F59" s="7">
        <f t="shared" si="17"/>
        <v>3</v>
      </c>
      <c r="G59" s="18">
        <v>4</v>
      </c>
      <c r="H59" s="18">
        <v>2011</v>
      </c>
      <c r="I59" s="19">
        <f t="shared" si="18"/>
        <v>502.75</v>
      </c>
      <c r="J59" s="18">
        <v>603300</v>
      </c>
      <c r="K59" s="18">
        <v>717566</v>
      </c>
      <c r="L59" s="20">
        <f t="shared" si="19"/>
        <v>0.69440607734806625</v>
      </c>
      <c r="M59" s="11">
        <v>3</v>
      </c>
      <c r="N59" s="11">
        <v>1953</v>
      </c>
      <c r="O59" s="9">
        <f t="shared" si="21"/>
        <v>651</v>
      </c>
      <c r="P59" s="11">
        <v>585900</v>
      </c>
      <c r="Q59" s="11">
        <v>535881</v>
      </c>
      <c r="R59" s="21">
        <f t="shared" si="4"/>
        <v>0.8037037037037037</v>
      </c>
      <c r="S59" s="14">
        <v>3</v>
      </c>
      <c r="T59" s="14">
        <v>1784</v>
      </c>
      <c r="U59" s="15">
        <f t="shared" si="22"/>
        <v>594.66666666666663</v>
      </c>
      <c r="V59" s="14">
        <f t="shared" si="23"/>
        <v>535200</v>
      </c>
      <c r="W59" s="14">
        <v>451374</v>
      </c>
      <c r="X59" s="15">
        <f t="shared" si="7"/>
        <v>0.73325113029182076</v>
      </c>
      <c r="Y59" s="24">
        <f t="shared" si="8"/>
        <v>0.74378697044786346</v>
      </c>
    </row>
    <row r="60" spans="1:25" ht="16" x14ac:dyDescent="0.2">
      <c r="A60" s="8">
        <v>60</v>
      </c>
      <c r="B60" s="3" t="s">
        <v>46</v>
      </c>
      <c r="C60" s="8">
        <v>1</v>
      </c>
      <c r="D60" s="8">
        <v>1</v>
      </c>
      <c r="E60" s="8">
        <v>1</v>
      </c>
      <c r="F60" s="7">
        <f t="shared" si="17"/>
        <v>3</v>
      </c>
      <c r="G60" s="18">
        <v>2</v>
      </c>
      <c r="H60" s="18">
        <v>592</v>
      </c>
      <c r="I60" s="19">
        <f t="shared" si="18"/>
        <v>296</v>
      </c>
      <c r="J60" s="18">
        <v>177600</v>
      </c>
      <c r="K60" s="18">
        <v>262566</v>
      </c>
      <c r="L60" s="20">
        <f t="shared" si="19"/>
        <v>0.40883977900552487</v>
      </c>
      <c r="M60" s="11">
        <v>1</v>
      </c>
      <c r="N60" s="11">
        <v>631</v>
      </c>
      <c r="O60" s="9">
        <f t="shared" si="21"/>
        <v>631</v>
      </c>
      <c r="P60" s="11">
        <v>189300</v>
      </c>
      <c r="Q60" s="11">
        <v>167404</v>
      </c>
      <c r="R60" s="21">
        <f t="shared" si="4"/>
        <v>0.77901234567901234</v>
      </c>
      <c r="S60" s="14">
        <v>3</v>
      </c>
      <c r="T60" s="14">
        <v>1595</v>
      </c>
      <c r="U60" s="15">
        <f t="shared" si="22"/>
        <v>531.66666666666663</v>
      </c>
      <c r="V60" s="14">
        <f t="shared" si="23"/>
        <v>478500</v>
      </c>
      <c r="W60" s="14">
        <v>394807</v>
      </c>
      <c r="X60" s="15">
        <f t="shared" si="7"/>
        <v>0.65556925606247429</v>
      </c>
      <c r="Y60" s="24">
        <f t="shared" si="8"/>
        <v>0.61447379358233711</v>
      </c>
    </row>
    <row r="61" spans="1:25" ht="16" x14ac:dyDescent="0.2">
      <c r="A61" s="8">
        <v>61</v>
      </c>
      <c r="B61" s="3" t="s">
        <v>47</v>
      </c>
      <c r="C61" s="8">
        <v>1</v>
      </c>
      <c r="D61" s="8">
        <v>1</v>
      </c>
      <c r="E61" s="8">
        <v>1</v>
      </c>
      <c r="F61" s="7">
        <f t="shared" si="17"/>
        <v>3</v>
      </c>
      <c r="G61" s="18">
        <v>2</v>
      </c>
      <c r="H61" s="18">
        <v>1009</v>
      </c>
      <c r="I61" s="19">
        <f t="shared" si="18"/>
        <v>504.5</v>
      </c>
      <c r="J61" s="18">
        <v>302700</v>
      </c>
      <c r="K61" s="18">
        <v>318566</v>
      </c>
      <c r="L61" s="20">
        <f t="shared" si="19"/>
        <v>0.69682320441988954</v>
      </c>
      <c r="M61" s="11">
        <v>1.5</v>
      </c>
      <c r="N61" s="11">
        <v>798</v>
      </c>
      <c r="O61" s="9">
        <f t="shared" si="21"/>
        <v>532</v>
      </c>
      <c r="P61" s="11">
        <v>239400</v>
      </c>
      <c r="Q61" s="11">
        <v>216905</v>
      </c>
      <c r="R61" s="21">
        <f t="shared" si="4"/>
        <v>0.65679012345679011</v>
      </c>
      <c r="S61" s="14">
        <v>3</v>
      </c>
      <c r="T61" s="14">
        <v>2401</v>
      </c>
      <c r="U61" s="15">
        <f t="shared" si="22"/>
        <v>800.33333333333337</v>
      </c>
      <c r="V61" s="14">
        <f t="shared" si="23"/>
        <v>720300</v>
      </c>
      <c r="W61" s="14">
        <v>399714</v>
      </c>
      <c r="X61" s="15">
        <f t="shared" si="7"/>
        <v>0.98684751335799425</v>
      </c>
      <c r="Y61" s="24">
        <f t="shared" si="8"/>
        <v>0.78015361374489134</v>
      </c>
    </row>
    <row r="62" spans="1:25" ht="16" x14ac:dyDescent="0.2">
      <c r="A62" s="8">
        <v>62</v>
      </c>
      <c r="B62" s="3" t="s">
        <v>96</v>
      </c>
      <c r="C62" s="8">
        <v>1</v>
      </c>
      <c r="D62" s="8">
        <v>1</v>
      </c>
      <c r="E62" s="8">
        <v>0</v>
      </c>
      <c r="F62" s="7">
        <f t="shared" si="17"/>
        <v>2</v>
      </c>
      <c r="G62" s="18">
        <v>1</v>
      </c>
      <c r="H62" s="18">
        <v>452</v>
      </c>
      <c r="I62" s="19">
        <f t="shared" si="18"/>
        <v>452</v>
      </c>
      <c r="J62" s="18">
        <v>135600</v>
      </c>
      <c r="K62" s="18">
        <v>73511</v>
      </c>
      <c r="L62" s="20">
        <f t="shared" si="19"/>
        <v>0.62430939226519333</v>
      </c>
      <c r="M62" s="11">
        <v>0.5</v>
      </c>
      <c r="N62" s="11">
        <v>179</v>
      </c>
      <c r="O62" s="9">
        <f t="shared" si="21"/>
        <v>358</v>
      </c>
      <c r="P62" s="11">
        <v>53700</v>
      </c>
      <c r="Q62" s="11">
        <v>78548</v>
      </c>
      <c r="R62" s="21">
        <f t="shared" si="4"/>
        <v>0.44197530864197532</v>
      </c>
      <c r="S62" s="14"/>
      <c r="T62" s="14"/>
      <c r="U62" s="15"/>
      <c r="V62" s="14"/>
      <c r="W62" s="14"/>
      <c r="X62" s="15"/>
      <c r="Y62" s="24">
        <f t="shared" si="8"/>
        <v>0.53314235045358438</v>
      </c>
    </row>
    <row r="63" spans="1:25" ht="16" x14ac:dyDescent="0.2">
      <c r="A63" s="8">
        <v>63</v>
      </c>
      <c r="B63" s="3" t="s">
        <v>48</v>
      </c>
      <c r="C63" s="8">
        <v>1</v>
      </c>
      <c r="D63" s="8">
        <v>1</v>
      </c>
      <c r="E63" s="8">
        <v>1</v>
      </c>
      <c r="F63" s="7">
        <f t="shared" si="17"/>
        <v>3</v>
      </c>
      <c r="G63" s="18">
        <v>3</v>
      </c>
      <c r="H63" s="18">
        <v>3240</v>
      </c>
      <c r="I63" s="19">
        <f t="shared" si="18"/>
        <v>1080</v>
      </c>
      <c r="J63" s="18">
        <v>972000</v>
      </c>
      <c r="K63" s="18">
        <v>623077</v>
      </c>
      <c r="L63" s="20">
        <f t="shared" si="19"/>
        <v>1.4917127071823204</v>
      </c>
      <c r="M63" s="11">
        <v>4</v>
      </c>
      <c r="N63" s="11">
        <v>4040</v>
      </c>
      <c r="O63" s="9">
        <f t="shared" si="21"/>
        <v>1010</v>
      </c>
      <c r="P63" s="11">
        <v>1212000</v>
      </c>
      <c r="Q63" s="11">
        <v>675642</v>
      </c>
      <c r="R63" s="21">
        <f t="shared" si="4"/>
        <v>1.2469135802469136</v>
      </c>
      <c r="S63" s="14">
        <v>6</v>
      </c>
      <c r="T63" s="14">
        <v>5711</v>
      </c>
      <c r="U63" s="15">
        <f t="shared" ref="U63:U71" si="24">T63/S63</f>
        <v>951.83333333333337</v>
      </c>
      <c r="V63" s="14">
        <f t="shared" ref="V63:V71" si="25">T63*300</f>
        <v>1713300</v>
      </c>
      <c r="W63" s="14">
        <v>936155</v>
      </c>
      <c r="X63" s="15">
        <f t="shared" si="7"/>
        <v>1.1736539251952323</v>
      </c>
      <c r="Y63" s="24">
        <f t="shared" si="8"/>
        <v>1.3040934042081556</v>
      </c>
    </row>
    <row r="64" spans="1:25" ht="16" x14ac:dyDescent="0.2">
      <c r="A64" s="8">
        <v>64</v>
      </c>
      <c r="B64" s="3" t="s">
        <v>49</v>
      </c>
      <c r="C64" s="8">
        <v>1</v>
      </c>
      <c r="D64" s="8">
        <v>1</v>
      </c>
      <c r="E64" s="8">
        <v>1</v>
      </c>
      <c r="F64" s="7">
        <f t="shared" si="17"/>
        <v>3</v>
      </c>
      <c r="G64" s="18">
        <v>4</v>
      </c>
      <c r="H64" s="18">
        <v>3051</v>
      </c>
      <c r="I64" s="19">
        <f t="shared" si="18"/>
        <v>762.75</v>
      </c>
      <c r="J64" s="18">
        <v>915300</v>
      </c>
      <c r="K64" s="18">
        <v>553055</v>
      </c>
      <c r="L64" s="20">
        <f t="shared" si="19"/>
        <v>1.0535220994475138</v>
      </c>
      <c r="M64" s="11">
        <v>3</v>
      </c>
      <c r="N64" s="11">
        <v>1840</v>
      </c>
      <c r="O64" s="9">
        <f t="shared" si="21"/>
        <v>613.33333333333337</v>
      </c>
      <c r="P64" s="11">
        <v>552000</v>
      </c>
      <c r="Q64" s="11">
        <v>483042</v>
      </c>
      <c r="R64" s="21">
        <f t="shared" si="4"/>
        <v>0.75720164609053497</v>
      </c>
      <c r="S64" s="14">
        <v>4</v>
      </c>
      <c r="T64" s="14">
        <v>2520</v>
      </c>
      <c r="U64" s="15">
        <f t="shared" si="24"/>
        <v>630</v>
      </c>
      <c r="V64" s="14">
        <f t="shared" si="25"/>
        <v>756000</v>
      </c>
      <c r="W64" s="14">
        <v>421022</v>
      </c>
      <c r="X64" s="15">
        <f t="shared" si="7"/>
        <v>0.77681874229346481</v>
      </c>
      <c r="Y64" s="24">
        <f t="shared" si="8"/>
        <v>0.86251416261050462</v>
      </c>
    </row>
    <row r="65" spans="1:25" ht="16" x14ac:dyDescent="0.2">
      <c r="A65" s="8">
        <v>65</v>
      </c>
      <c r="B65" s="3" t="s">
        <v>50</v>
      </c>
      <c r="C65" s="8">
        <v>1</v>
      </c>
      <c r="D65" s="8">
        <v>1</v>
      </c>
      <c r="E65" s="8">
        <v>1</v>
      </c>
      <c r="F65" s="7">
        <f t="shared" si="17"/>
        <v>3</v>
      </c>
      <c r="G65" s="18">
        <v>1</v>
      </c>
      <c r="H65" s="18">
        <v>246</v>
      </c>
      <c r="I65" s="19">
        <f t="shared" si="18"/>
        <v>246</v>
      </c>
      <c r="J65" s="18">
        <v>73800</v>
      </c>
      <c r="K65" s="18">
        <v>66511</v>
      </c>
      <c r="L65" s="20">
        <f t="shared" si="19"/>
        <v>0.3397790055248619</v>
      </c>
      <c r="M65" s="11">
        <v>1</v>
      </c>
      <c r="N65" s="11">
        <v>124</v>
      </c>
      <c r="O65" s="9">
        <f t="shared" si="21"/>
        <v>124</v>
      </c>
      <c r="P65" s="11">
        <v>37200</v>
      </c>
      <c r="Q65" s="11">
        <v>81372</v>
      </c>
      <c r="R65" s="21">
        <f t="shared" si="4"/>
        <v>0.15308641975308643</v>
      </c>
      <c r="S65" s="14">
        <v>1</v>
      </c>
      <c r="T65" s="14">
        <v>310</v>
      </c>
      <c r="U65" s="15">
        <f t="shared" si="24"/>
        <v>310</v>
      </c>
      <c r="V65" s="14">
        <f t="shared" si="25"/>
        <v>93000</v>
      </c>
      <c r="W65" s="14">
        <v>135430</v>
      </c>
      <c r="X65" s="15">
        <f t="shared" si="7"/>
        <v>0.38224414303329224</v>
      </c>
      <c r="Y65" s="24">
        <f t="shared" si="8"/>
        <v>0.29170318943708018</v>
      </c>
    </row>
    <row r="66" spans="1:25" ht="16" x14ac:dyDescent="0.2">
      <c r="A66" s="8">
        <v>66</v>
      </c>
      <c r="B66" s="3" t="s">
        <v>51</v>
      </c>
      <c r="C66" s="8">
        <v>1</v>
      </c>
      <c r="D66" s="8">
        <v>1</v>
      </c>
      <c r="E66" s="8">
        <v>1</v>
      </c>
      <c r="F66" s="7">
        <f t="shared" ref="F66:F97" si="26">C66+D66+E66</f>
        <v>3</v>
      </c>
      <c r="G66" s="18">
        <v>1</v>
      </c>
      <c r="H66" s="18">
        <v>150</v>
      </c>
      <c r="I66" s="19">
        <f t="shared" ref="I66:I97" si="27">H66/G66</f>
        <v>150</v>
      </c>
      <c r="J66" s="18">
        <v>45000</v>
      </c>
      <c r="K66" s="18">
        <v>150511</v>
      </c>
      <c r="L66" s="20">
        <f t="shared" ref="L66:L97" si="28">I66/724</f>
        <v>0.20718232044198895</v>
      </c>
      <c r="M66" s="11">
        <v>1.5</v>
      </c>
      <c r="N66" s="11">
        <v>1409</v>
      </c>
      <c r="O66" s="9">
        <f t="shared" si="21"/>
        <v>939.33333333333337</v>
      </c>
      <c r="P66" s="11">
        <v>422700</v>
      </c>
      <c r="Q66" s="11">
        <v>282738</v>
      </c>
      <c r="R66" s="21">
        <f t="shared" si="4"/>
        <v>1.1596707818930041</v>
      </c>
      <c r="S66" s="14">
        <v>3</v>
      </c>
      <c r="T66" s="14">
        <v>1008</v>
      </c>
      <c r="U66" s="15">
        <f t="shared" si="24"/>
        <v>336</v>
      </c>
      <c r="V66" s="14">
        <f t="shared" si="25"/>
        <v>302400</v>
      </c>
      <c r="W66" s="14">
        <v>298546</v>
      </c>
      <c r="X66" s="15">
        <f t="shared" si="7"/>
        <v>0.41430332922318125</v>
      </c>
      <c r="Y66" s="24">
        <f t="shared" si="8"/>
        <v>0.59371881051939146</v>
      </c>
    </row>
    <row r="67" spans="1:25" ht="16" x14ac:dyDescent="0.2">
      <c r="A67" s="8">
        <v>67</v>
      </c>
      <c r="B67" s="3" t="s">
        <v>52</v>
      </c>
      <c r="C67" s="8">
        <v>1</v>
      </c>
      <c r="D67" s="8">
        <v>1</v>
      </c>
      <c r="E67" s="8">
        <v>1</v>
      </c>
      <c r="F67" s="7">
        <f t="shared" si="26"/>
        <v>3</v>
      </c>
      <c r="G67" s="18">
        <v>3</v>
      </c>
      <c r="H67" s="18">
        <v>1447</v>
      </c>
      <c r="I67" s="19">
        <f t="shared" si="27"/>
        <v>482.33333333333331</v>
      </c>
      <c r="J67" s="18">
        <v>434100</v>
      </c>
      <c r="K67" s="18">
        <v>423577</v>
      </c>
      <c r="L67" s="20">
        <f t="shared" si="28"/>
        <v>0.66620626151012885</v>
      </c>
      <c r="M67" s="11">
        <v>2</v>
      </c>
      <c r="N67" s="11">
        <v>1851</v>
      </c>
      <c r="O67" s="9">
        <f t="shared" si="21"/>
        <v>925.5</v>
      </c>
      <c r="P67" s="11">
        <v>555300</v>
      </c>
      <c r="Q67" s="11">
        <v>475575</v>
      </c>
      <c r="R67" s="21">
        <f t="shared" ref="R67:R130" si="29">O67/810</f>
        <v>1.1425925925925926</v>
      </c>
      <c r="S67" s="14">
        <v>4</v>
      </c>
      <c r="T67" s="14">
        <v>2843</v>
      </c>
      <c r="U67" s="15">
        <f t="shared" si="24"/>
        <v>710.75</v>
      </c>
      <c r="V67" s="14">
        <f t="shared" si="25"/>
        <v>852900</v>
      </c>
      <c r="W67" s="14">
        <v>483040</v>
      </c>
      <c r="X67" s="15">
        <f t="shared" ref="X67:X130" si="30">U67/811</f>
        <v>0.8763871763255241</v>
      </c>
      <c r="Y67" s="24">
        <f t="shared" ref="Y67:Y130" si="31">AVERAGE(L67,R67,X67)</f>
        <v>0.89506201014274855</v>
      </c>
    </row>
    <row r="68" spans="1:25" ht="16" x14ac:dyDescent="0.2">
      <c r="A68" s="8">
        <v>68</v>
      </c>
      <c r="B68" s="3" t="s">
        <v>53</v>
      </c>
      <c r="C68" s="8">
        <v>1</v>
      </c>
      <c r="D68" s="8">
        <v>1</v>
      </c>
      <c r="E68" s="8">
        <v>1</v>
      </c>
      <c r="F68" s="7">
        <f t="shared" si="26"/>
        <v>3</v>
      </c>
      <c r="G68" s="18">
        <v>3</v>
      </c>
      <c r="H68" s="18">
        <v>1449</v>
      </c>
      <c r="I68" s="19">
        <f t="shared" si="27"/>
        <v>483</v>
      </c>
      <c r="J68" s="18">
        <v>434700</v>
      </c>
      <c r="K68" s="18">
        <v>462066</v>
      </c>
      <c r="L68" s="20">
        <f t="shared" si="28"/>
        <v>0.66712707182320441</v>
      </c>
      <c r="M68" s="11">
        <v>3</v>
      </c>
      <c r="N68" s="11">
        <v>2970</v>
      </c>
      <c r="O68" s="9">
        <f t="shared" si="21"/>
        <v>990</v>
      </c>
      <c r="P68" s="11">
        <v>891000</v>
      </c>
      <c r="Q68" s="11">
        <v>563432</v>
      </c>
      <c r="R68" s="21">
        <f t="shared" si="29"/>
        <v>1.2222222222222223</v>
      </c>
      <c r="S68" s="14">
        <v>8</v>
      </c>
      <c r="T68" s="14">
        <v>9680</v>
      </c>
      <c r="U68" s="15">
        <f t="shared" si="24"/>
        <v>1210</v>
      </c>
      <c r="V68" s="14">
        <f t="shared" si="25"/>
        <v>2904000</v>
      </c>
      <c r="W68" s="14">
        <v>1044584</v>
      </c>
      <c r="X68" s="15">
        <f t="shared" si="30"/>
        <v>1.4919852034525278</v>
      </c>
      <c r="Y68" s="24">
        <f t="shared" si="31"/>
        <v>1.127111499165985</v>
      </c>
    </row>
    <row r="69" spans="1:25" ht="16" x14ac:dyDescent="0.2">
      <c r="A69" s="8">
        <v>69</v>
      </c>
      <c r="B69" s="3" t="s">
        <v>54</v>
      </c>
      <c r="C69" s="8">
        <v>1</v>
      </c>
      <c r="D69" s="8">
        <v>1</v>
      </c>
      <c r="E69" s="8">
        <v>1</v>
      </c>
      <c r="F69" s="7">
        <f t="shared" si="26"/>
        <v>3</v>
      </c>
      <c r="G69" s="18">
        <v>3</v>
      </c>
      <c r="H69" s="18">
        <v>2391</v>
      </c>
      <c r="I69" s="19">
        <f t="shared" si="27"/>
        <v>797</v>
      </c>
      <c r="J69" s="18">
        <v>717300</v>
      </c>
      <c r="K69" s="18">
        <v>385033</v>
      </c>
      <c r="L69" s="20">
        <f t="shared" si="28"/>
        <v>1.100828729281768</v>
      </c>
      <c r="M69" s="11">
        <v>3</v>
      </c>
      <c r="N69" s="11">
        <v>1904</v>
      </c>
      <c r="O69" s="9">
        <f t="shared" si="21"/>
        <v>634.66666666666663</v>
      </c>
      <c r="P69" s="11">
        <v>571200</v>
      </c>
      <c r="Q69" s="11">
        <v>332212</v>
      </c>
      <c r="R69" s="21">
        <f t="shared" si="29"/>
        <v>0.78353909465020577</v>
      </c>
      <c r="S69" s="14">
        <v>2</v>
      </c>
      <c r="T69" s="14">
        <v>1926</v>
      </c>
      <c r="U69" s="15">
        <f t="shared" si="24"/>
        <v>963</v>
      </c>
      <c r="V69" s="14">
        <f t="shared" si="25"/>
        <v>577800</v>
      </c>
      <c r="W69" s="14">
        <v>385778</v>
      </c>
      <c r="X69" s="15">
        <f t="shared" si="30"/>
        <v>1.1874229346485821</v>
      </c>
      <c r="Y69" s="24">
        <f t="shared" si="31"/>
        <v>1.0239302528601852</v>
      </c>
    </row>
    <row r="70" spans="1:25" ht="16" x14ac:dyDescent="0.2">
      <c r="A70" s="8">
        <v>70</v>
      </c>
      <c r="B70" s="3" t="s">
        <v>55</v>
      </c>
      <c r="C70" s="8">
        <v>1</v>
      </c>
      <c r="D70" s="8">
        <v>1</v>
      </c>
      <c r="E70" s="8">
        <v>1</v>
      </c>
      <c r="F70" s="7">
        <f t="shared" si="26"/>
        <v>3</v>
      </c>
      <c r="G70" s="18">
        <v>2</v>
      </c>
      <c r="H70" s="18">
        <v>703</v>
      </c>
      <c r="I70" s="19">
        <f t="shared" si="27"/>
        <v>351.5</v>
      </c>
      <c r="J70" s="18">
        <v>210900</v>
      </c>
      <c r="K70" s="18">
        <v>294044</v>
      </c>
      <c r="L70" s="20">
        <f t="shared" si="28"/>
        <v>0.48549723756906077</v>
      </c>
      <c r="M70" s="11">
        <v>1</v>
      </c>
      <c r="N70" s="11">
        <v>2420</v>
      </c>
      <c r="O70" s="9">
        <f t="shared" si="21"/>
        <v>2420</v>
      </c>
      <c r="P70" s="11">
        <v>726000</v>
      </c>
      <c r="Q70" s="11">
        <v>453293</v>
      </c>
      <c r="R70" s="21">
        <f t="shared" si="29"/>
        <v>2.9876543209876543</v>
      </c>
      <c r="S70" s="14">
        <v>3</v>
      </c>
      <c r="T70" s="14">
        <v>1716</v>
      </c>
      <c r="U70" s="15">
        <f t="shared" si="24"/>
        <v>572</v>
      </c>
      <c r="V70" s="14">
        <f t="shared" si="25"/>
        <v>514800</v>
      </c>
      <c r="W70" s="14">
        <v>601659</v>
      </c>
      <c r="X70" s="15">
        <f t="shared" si="30"/>
        <v>0.70530209617755857</v>
      </c>
      <c r="Y70" s="24">
        <f t="shared" si="31"/>
        <v>1.3928178849114248</v>
      </c>
    </row>
    <row r="71" spans="1:25" ht="16" x14ac:dyDescent="0.2">
      <c r="A71" s="8">
        <v>71</v>
      </c>
      <c r="B71" s="3" t="s">
        <v>56</v>
      </c>
      <c r="C71" s="8">
        <v>1</v>
      </c>
      <c r="D71" s="8">
        <v>1</v>
      </c>
      <c r="E71" s="8">
        <v>1</v>
      </c>
      <c r="F71" s="7">
        <f t="shared" si="26"/>
        <v>3</v>
      </c>
      <c r="G71" s="18">
        <v>6</v>
      </c>
      <c r="H71" s="18">
        <v>7820</v>
      </c>
      <c r="I71" s="19">
        <f t="shared" si="27"/>
        <v>1303.3333333333333</v>
      </c>
      <c r="J71" s="18">
        <v>2346000</v>
      </c>
      <c r="K71" s="18">
        <v>1057176</v>
      </c>
      <c r="L71" s="20">
        <f t="shared" si="28"/>
        <v>1.8001841620626149</v>
      </c>
      <c r="M71" s="11">
        <v>6</v>
      </c>
      <c r="N71" s="11">
        <v>10580</v>
      </c>
      <c r="O71" s="9">
        <f t="shared" si="21"/>
        <v>1763.3333333333333</v>
      </c>
      <c r="P71" s="11">
        <v>3174000</v>
      </c>
      <c r="Q71" s="11">
        <v>1223284</v>
      </c>
      <c r="R71" s="21">
        <f t="shared" si="29"/>
        <v>2.1769547325102878</v>
      </c>
      <c r="S71" s="14">
        <v>7</v>
      </c>
      <c r="T71" s="14">
        <v>11720</v>
      </c>
      <c r="U71" s="15">
        <f t="shared" si="24"/>
        <v>1674.2857142857142</v>
      </c>
      <c r="V71" s="14">
        <f t="shared" si="25"/>
        <v>3516000</v>
      </c>
      <c r="W71" s="14">
        <v>1272215</v>
      </c>
      <c r="X71" s="15">
        <f t="shared" si="30"/>
        <v>2.0644706711291172</v>
      </c>
      <c r="Y71" s="24">
        <f t="shared" si="31"/>
        <v>2.0138698552340064</v>
      </c>
    </row>
    <row r="72" spans="1:25" ht="16" x14ac:dyDescent="0.2">
      <c r="A72" s="8">
        <v>72</v>
      </c>
      <c r="B72" s="3" t="s">
        <v>97</v>
      </c>
      <c r="C72" s="8">
        <v>1</v>
      </c>
      <c r="D72" s="8">
        <v>1</v>
      </c>
      <c r="E72" s="8">
        <v>0</v>
      </c>
      <c r="F72" s="7">
        <f t="shared" si="26"/>
        <v>2</v>
      </c>
      <c r="G72" s="18">
        <v>2</v>
      </c>
      <c r="H72" s="18">
        <v>1309</v>
      </c>
      <c r="I72" s="19">
        <f t="shared" si="27"/>
        <v>654.5</v>
      </c>
      <c r="J72" s="18">
        <v>392700</v>
      </c>
      <c r="K72" s="18">
        <v>203011</v>
      </c>
      <c r="L72" s="20">
        <f t="shared" si="28"/>
        <v>0.90400552486187846</v>
      </c>
      <c r="M72" s="11">
        <v>1.5</v>
      </c>
      <c r="N72" s="11">
        <v>790</v>
      </c>
      <c r="O72" s="9">
        <f t="shared" si="21"/>
        <v>526.66666666666663</v>
      </c>
      <c r="P72" s="11">
        <v>237000</v>
      </c>
      <c r="Q72" s="11">
        <v>177370</v>
      </c>
      <c r="R72" s="21">
        <f t="shared" si="29"/>
        <v>0.65020576131687235</v>
      </c>
      <c r="S72" s="14"/>
      <c r="T72" s="14"/>
      <c r="U72" s="15"/>
      <c r="V72" s="14"/>
      <c r="W72" s="14"/>
      <c r="X72" s="15"/>
      <c r="Y72" s="24">
        <f t="shared" si="31"/>
        <v>0.77710564308937546</v>
      </c>
    </row>
    <row r="73" spans="1:25" ht="16" x14ac:dyDescent="0.2">
      <c r="A73" s="8">
        <v>73</v>
      </c>
      <c r="B73" s="3" t="s">
        <v>57</v>
      </c>
      <c r="C73" s="8">
        <v>1</v>
      </c>
      <c r="D73" s="8">
        <v>1</v>
      </c>
      <c r="E73" s="8">
        <v>1</v>
      </c>
      <c r="F73" s="7">
        <f t="shared" si="26"/>
        <v>3</v>
      </c>
      <c r="G73" s="18">
        <v>2.5</v>
      </c>
      <c r="H73" s="18">
        <v>1741</v>
      </c>
      <c r="I73" s="19">
        <f t="shared" si="27"/>
        <v>696.4</v>
      </c>
      <c r="J73" s="18">
        <v>522300</v>
      </c>
      <c r="K73" s="18">
        <v>560088</v>
      </c>
      <c r="L73" s="20">
        <f t="shared" si="28"/>
        <v>0.96187845303867403</v>
      </c>
      <c r="M73" s="11">
        <v>4</v>
      </c>
      <c r="N73" s="11">
        <v>3240</v>
      </c>
      <c r="O73" s="9">
        <f t="shared" si="21"/>
        <v>810</v>
      </c>
      <c r="P73" s="11">
        <v>972000</v>
      </c>
      <c r="Q73" s="11">
        <v>558764</v>
      </c>
      <c r="R73" s="21">
        <f t="shared" si="29"/>
        <v>1</v>
      </c>
      <c r="S73" s="14">
        <v>4</v>
      </c>
      <c r="T73" s="14">
        <v>1913</v>
      </c>
      <c r="U73" s="15">
        <f t="shared" ref="U73:U79" si="32">T73/S73</f>
        <v>478.25</v>
      </c>
      <c r="V73" s="14">
        <f t="shared" ref="V73:V79" si="33">T73*300</f>
        <v>573900</v>
      </c>
      <c r="W73" s="14">
        <v>528283</v>
      </c>
      <c r="X73" s="15">
        <f t="shared" si="30"/>
        <v>0.58970406905055484</v>
      </c>
      <c r="Y73" s="24">
        <f t="shared" si="31"/>
        <v>0.85052750736307636</v>
      </c>
    </row>
    <row r="74" spans="1:25" ht="16" x14ac:dyDescent="0.2">
      <c r="A74" s="8">
        <v>74</v>
      </c>
      <c r="B74" s="3" t="s">
        <v>58</v>
      </c>
      <c r="C74" s="8">
        <v>1</v>
      </c>
      <c r="D74" s="8">
        <v>1</v>
      </c>
      <c r="E74" s="8">
        <v>1</v>
      </c>
      <c r="F74" s="7">
        <f t="shared" si="26"/>
        <v>3</v>
      </c>
      <c r="G74" s="18">
        <v>2</v>
      </c>
      <c r="H74" s="18">
        <v>105</v>
      </c>
      <c r="I74" s="19">
        <f t="shared" si="27"/>
        <v>52.5</v>
      </c>
      <c r="J74" s="18">
        <v>31500</v>
      </c>
      <c r="K74" s="18">
        <v>210022</v>
      </c>
      <c r="L74" s="20">
        <f t="shared" si="28"/>
        <v>7.2513812154696128E-2</v>
      </c>
      <c r="M74" s="11">
        <v>1</v>
      </c>
      <c r="N74" s="11">
        <v>708</v>
      </c>
      <c r="O74" s="9">
        <f t="shared" si="21"/>
        <v>708</v>
      </c>
      <c r="P74" s="11">
        <v>212400</v>
      </c>
      <c r="Q74" s="11">
        <v>206135</v>
      </c>
      <c r="R74" s="21">
        <f t="shared" si="29"/>
        <v>0.87407407407407411</v>
      </c>
      <c r="S74" s="14">
        <v>2</v>
      </c>
      <c r="T74" s="14">
        <v>1694</v>
      </c>
      <c r="U74" s="15">
        <f t="shared" si="32"/>
        <v>847</v>
      </c>
      <c r="V74" s="14">
        <f t="shared" si="33"/>
        <v>508200</v>
      </c>
      <c r="W74" s="14">
        <v>360582</v>
      </c>
      <c r="X74" s="15">
        <f t="shared" si="30"/>
        <v>1.0443896424167693</v>
      </c>
      <c r="Y74" s="24">
        <f t="shared" si="31"/>
        <v>0.66365917621517989</v>
      </c>
    </row>
    <row r="75" spans="1:25" ht="16" x14ac:dyDescent="0.2">
      <c r="A75" s="8">
        <v>75</v>
      </c>
      <c r="B75" s="3" t="s">
        <v>59</v>
      </c>
      <c r="C75" s="8">
        <v>1</v>
      </c>
      <c r="D75" s="8">
        <v>1</v>
      </c>
      <c r="E75" s="8">
        <v>1</v>
      </c>
      <c r="F75" s="7">
        <f t="shared" si="26"/>
        <v>3</v>
      </c>
      <c r="G75" s="18">
        <v>1</v>
      </c>
      <c r="H75" s="18">
        <v>613</v>
      </c>
      <c r="I75" s="19">
        <f t="shared" si="27"/>
        <v>613</v>
      </c>
      <c r="J75" s="18">
        <v>183900</v>
      </c>
      <c r="K75" s="18">
        <v>175022</v>
      </c>
      <c r="L75" s="20">
        <f t="shared" si="28"/>
        <v>0.84668508287292821</v>
      </c>
      <c r="M75" s="11">
        <v>1</v>
      </c>
      <c r="N75" s="11">
        <v>878</v>
      </c>
      <c r="O75" s="9">
        <f t="shared" si="21"/>
        <v>878</v>
      </c>
      <c r="P75" s="11">
        <v>263400</v>
      </c>
      <c r="Q75" s="11">
        <v>223645</v>
      </c>
      <c r="R75" s="21">
        <f t="shared" si="29"/>
        <v>1.0839506172839506</v>
      </c>
      <c r="S75" s="14">
        <v>1</v>
      </c>
      <c r="T75" s="14">
        <v>517</v>
      </c>
      <c r="U75" s="15">
        <f t="shared" si="32"/>
        <v>517</v>
      </c>
      <c r="V75" s="14">
        <f t="shared" si="33"/>
        <v>155100</v>
      </c>
      <c r="W75" s="14">
        <v>177062</v>
      </c>
      <c r="X75" s="15">
        <f t="shared" si="30"/>
        <v>0.63748458692971643</v>
      </c>
      <c r="Y75" s="24">
        <f t="shared" si="31"/>
        <v>0.85604009569553174</v>
      </c>
    </row>
    <row r="76" spans="1:25" ht="16" x14ac:dyDescent="0.2">
      <c r="A76" s="8">
        <v>76</v>
      </c>
      <c r="B76" s="3" t="s">
        <v>60</v>
      </c>
      <c r="C76" s="8">
        <v>1</v>
      </c>
      <c r="D76" s="8">
        <v>1</v>
      </c>
      <c r="E76" s="8">
        <v>1</v>
      </c>
      <c r="F76" s="7">
        <f t="shared" si="26"/>
        <v>3</v>
      </c>
      <c r="G76" s="18">
        <v>5</v>
      </c>
      <c r="H76" s="18">
        <v>5633</v>
      </c>
      <c r="I76" s="19">
        <f t="shared" si="27"/>
        <v>1126.5999999999999</v>
      </c>
      <c r="J76" s="18">
        <v>1689900</v>
      </c>
      <c r="K76" s="18">
        <v>574000</v>
      </c>
      <c r="L76" s="20">
        <f t="shared" si="28"/>
        <v>1.5560773480662982</v>
      </c>
      <c r="M76" s="11">
        <v>6</v>
      </c>
      <c r="N76" s="11">
        <v>4280</v>
      </c>
      <c r="O76" s="9">
        <f t="shared" si="21"/>
        <v>713.33333333333337</v>
      </c>
      <c r="P76" s="11">
        <v>1284000</v>
      </c>
      <c r="Q76" s="11">
        <v>579840</v>
      </c>
      <c r="R76" s="21">
        <f t="shared" si="29"/>
        <v>0.88065843621399187</v>
      </c>
      <c r="S76" s="14">
        <v>6</v>
      </c>
      <c r="T76" s="14">
        <v>7247</v>
      </c>
      <c r="U76" s="15">
        <f t="shared" si="32"/>
        <v>1207.8333333333333</v>
      </c>
      <c r="V76" s="14">
        <f t="shared" si="33"/>
        <v>2174100</v>
      </c>
      <c r="W76" s="14">
        <v>719752</v>
      </c>
      <c r="X76" s="15">
        <f t="shared" si="30"/>
        <v>1.4893136046033701</v>
      </c>
      <c r="Y76" s="24">
        <f t="shared" si="31"/>
        <v>1.3086831296278867</v>
      </c>
    </row>
    <row r="77" spans="1:25" ht="16" x14ac:dyDescent="0.2">
      <c r="A77" s="8">
        <v>77</v>
      </c>
      <c r="B77" s="3" t="s">
        <v>61</v>
      </c>
      <c r="C77" s="8">
        <v>1</v>
      </c>
      <c r="D77" s="8">
        <v>1</v>
      </c>
      <c r="E77" s="8">
        <v>1</v>
      </c>
      <c r="F77" s="7">
        <f t="shared" si="26"/>
        <v>3</v>
      </c>
      <c r="G77" s="18">
        <v>2</v>
      </c>
      <c r="H77" s="18">
        <v>1500</v>
      </c>
      <c r="I77" s="19">
        <f t="shared" si="27"/>
        <v>750</v>
      </c>
      <c r="J77" s="18">
        <v>450000</v>
      </c>
      <c r="K77" s="18">
        <v>273033</v>
      </c>
      <c r="L77" s="20">
        <f t="shared" si="28"/>
        <v>1.0359116022099448</v>
      </c>
      <c r="M77" s="11">
        <v>3</v>
      </c>
      <c r="N77" s="11">
        <v>984</v>
      </c>
      <c r="O77" s="9">
        <f t="shared" si="21"/>
        <v>328</v>
      </c>
      <c r="P77" s="11">
        <v>295200</v>
      </c>
      <c r="Q77" s="11">
        <v>873463</v>
      </c>
      <c r="R77" s="21">
        <f t="shared" si="29"/>
        <v>0.40493827160493828</v>
      </c>
      <c r="S77" s="14">
        <v>1</v>
      </c>
      <c r="T77" s="14">
        <v>577</v>
      </c>
      <c r="U77" s="15">
        <f t="shared" si="32"/>
        <v>577</v>
      </c>
      <c r="V77" s="14">
        <f t="shared" si="33"/>
        <v>173100</v>
      </c>
      <c r="W77" s="14">
        <v>242242</v>
      </c>
      <c r="X77" s="15">
        <f t="shared" si="30"/>
        <v>0.71146732429099879</v>
      </c>
      <c r="Y77" s="24">
        <f t="shared" si="31"/>
        <v>0.71743906603529395</v>
      </c>
    </row>
    <row r="78" spans="1:25" ht="16" x14ac:dyDescent="0.2">
      <c r="A78" s="8">
        <v>78</v>
      </c>
      <c r="B78" s="3" t="s">
        <v>62</v>
      </c>
      <c r="C78" s="8">
        <v>1</v>
      </c>
      <c r="D78" s="8">
        <v>1</v>
      </c>
      <c r="E78" s="8">
        <v>1</v>
      </c>
      <c r="F78" s="7">
        <f t="shared" si="26"/>
        <v>3</v>
      </c>
      <c r="G78" s="18">
        <v>2</v>
      </c>
      <c r="H78" s="18">
        <v>1457</v>
      </c>
      <c r="I78" s="19">
        <f t="shared" si="27"/>
        <v>728.5</v>
      </c>
      <c r="J78" s="18">
        <v>437100</v>
      </c>
      <c r="K78" s="18">
        <v>273022</v>
      </c>
      <c r="L78" s="20">
        <f t="shared" si="28"/>
        <v>1.0062154696132597</v>
      </c>
      <c r="M78" s="11">
        <v>3</v>
      </c>
      <c r="N78" s="11">
        <v>1680</v>
      </c>
      <c r="O78" s="9">
        <f t="shared" si="21"/>
        <v>560</v>
      </c>
      <c r="P78" s="11">
        <v>504000</v>
      </c>
      <c r="Q78" s="11">
        <v>360040</v>
      </c>
      <c r="R78" s="21">
        <f t="shared" si="29"/>
        <v>0.69135802469135799</v>
      </c>
      <c r="S78" s="14">
        <v>3</v>
      </c>
      <c r="T78" s="14">
        <v>1660</v>
      </c>
      <c r="U78" s="15">
        <f t="shared" si="32"/>
        <v>553.33333333333337</v>
      </c>
      <c r="V78" s="14">
        <f t="shared" si="33"/>
        <v>498000</v>
      </c>
      <c r="W78" s="14">
        <v>298480</v>
      </c>
      <c r="X78" s="15">
        <f t="shared" si="30"/>
        <v>0.6822852445540486</v>
      </c>
      <c r="Y78" s="24">
        <f t="shared" si="31"/>
        <v>0.79328624628622213</v>
      </c>
    </row>
    <row r="79" spans="1:25" ht="16" x14ac:dyDescent="0.2">
      <c r="A79" s="8">
        <v>79</v>
      </c>
      <c r="B79" s="3" t="s">
        <v>63</v>
      </c>
      <c r="C79" s="8">
        <v>1</v>
      </c>
      <c r="D79" s="8">
        <v>1</v>
      </c>
      <c r="E79" s="8">
        <v>1</v>
      </c>
      <c r="F79" s="7">
        <f t="shared" si="26"/>
        <v>3</v>
      </c>
      <c r="G79" s="18">
        <v>2</v>
      </c>
      <c r="H79" s="18">
        <v>1423</v>
      </c>
      <c r="I79" s="19">
        <f t="shared" si="27"/>
        <v>711.5</v>
      </c>
      <c r="J79" s="18">
        <v>426900</v>
      </c>
      <c r="K79" s="18">
        <v>213533</v>
      </c>
      <c r="L79" s="20">
        <f t="shared" si="28"/>
        <v>0.98273480662983426</v>
      </c>
      <c r="M79" s="11">
        <v>1</v>
      </c>
      <c r="N79" s="11">
        <v>1328</v>
      </c>
      <c r="O79" s="9">
        <f t="shared" si="21"/>
        <v>1328</v>
      </c>
      <c r="P79" s="11">
        <v>398400</v>
      </c>
      <c r="Q79" s="11">
        <v>151495</v>
      </c>
      <c r="R79" s="21">
        <f t="shared" si="29"/>
        <v>1.6395061728395062</v>
      </c>
      <c r="S79" s="14">
        <v>1</v>
      </c>
      <c r="T79" s="14">
        <v>1362</v>
      </c>
      <c r="U79" s="15">
        <f t="shared" si="32"/>
        <v>1362</v>
      </c>
      <c r="V79" s="14">
        <f t="shared" si="33"/>
        <v>408600</v>
      </c>
      <c r="W79" s="14">
        <v>200597</v>
      </c>
      <c r="X79" s="15">
        <f t="shared" si="30"/>
        <v>1.6794081381011097</v>
      </c>
      <c r="Y79" s="24">
        <f t="shared" si="31"/>
        <v>1.4338830391901503</v>
      </c>
    </row>
    <row r="80" spans="1:25" ht="16" x14ac:dyDescent="0.2">
      <c r="A80" s="8">
        <v>80</v>
      </c>
      <c r="B80" s="3" t="s">
        <v>112</v>
      </c>
      <c r="C80" s="8">
        <v>1</v>
      </c>
      <c r="D80" s="8">
        <v>0</v>
      </c>
      <c r="E80" s="8">
        <v>1</v>
      </c>
      <c r="F80" s="7">
        <f t="shared" si="26"/>
        <v>2</v>
      </c>
      <c r="G80" s="18">
        <v>2</v>
      </c>
      <c r="H80" s="18">
        <v>1185</v>
      </c>
      <c r="I80" s="19">
        <f t="shared" si="27"/>
        <v>592.5</v>
      </c>
      <c r="J80" s="18">
        <v>355500</v>
      </c>
      <c r="K80" s="18">
        <v>210011</v>
      </c>
      <c r="L80" s="20">
        <f t="shared" si="28"/>
        <v>0.8183701657458563</v>
      </c>
      <c r="M80" s="11"/>
      <c r="N80" s="11"/>
      <c r="O80" s="9"/>
      <c r="P80" s="11"/>
      <c r="Q80" s="11"/>
      <c r="R80" s="21"/>
      <c r="S80" s="14"/>
      <c r="T80" s="14"/>
      <c r="U80" s="15"/>
      <c r="V80" s="14"/>
      <c r="W80" s="14"/>
      <c r="X80" s="15"/>
      <c r="Y80" s="24">
        <f t="shared" si="31"/>
        <v>0.8183701657458563</v>
      </c>
    </row>
    <row r="81" spans="1:25" ht="16" x14ac:dyDescent="0.2">
      <c r="A81" s="8">
        <v>81</v>
      </c>
      <c r="B81" s="3" t="s">
        <v>64</v>
      </c>
      <c r="C81" s="8">
        <v>1</v>
      </c>
      <c r="D81" s="8">
        <v>1</v>
      </c>
      <c r="E81" s="8">
        <v>1</v>
      </c>
      <c r="F81" s="7">
        <f t="shared" si="26"/>
        <v>3</v>
      </c>
      <c r="G81" s="18">
        <v>5</v>
      </c>
      <c r="H81" s="18">
        <v>2056</v>
      </c>
      <c r="I81" s="19">
        <f t="shared" si="27"/>
        <v>411.2</v>
      </c>
      <c r="J81" s="18">
        <v>616800</v>
      </c>
      <c r="K81" s="18">
        <v>441033</v>
      </c>
      <c r="L81" s="20">
        <f t="shared" si="28"/>
        <v>0.56795580110497235</v>
      </c>
      <c r="M81" s="11">
        <v>1</v>
      </c>
      <c r="N81" s="11">
        <v>1262</v>
      </c>
      <c r="O81" s="9">
        <f>N81/M81</f>
        <v>1262</v>
      </c>
      <c r="P81" s="11">
        <v>378600</v>
      </c>
      <c r="Q81" s="11">
        <v>1996797</v>
      </c>
      <c r="R81" s="21">
        <f t="shared" si="29"/>
        <v>1.5580246913580247</v>
      </c>
      <c r="S81" s="14">
        <v>4</v>
      </c>
      <c r="T81" s="14">
        <v>2560</v>
      </c>
      <c r="U81" s="15">
        <f>T81/S81</f>
        <v>640</v>
      </c>
      <c r="V81" s="14">
        <f>T81*300</f>
        <v>768000</v>
      </c>
      <c r="W81" s="14">
        <v>331702</v>
      </c>
      <c r="X81" s="15">
        <f t="shared" si="30"/>
        <v>0.78914919852034526</v>
      </c>
      <c r="Y81" s="24">
        <f t="shared" si="31"/>
        <v>0.97170989699444732</v>
      </c>
    </row>
    <row r="82" spans="1:25" ht="16" x14ac:dyDescent="0.2">
      <c r="A82" s="8">
        <v>82</v>
      </c>
      <c r="B82" s="3" t="s">
        <v>98</v>
      </c>
      <c r="C82" s="8">
        <v>1</v>
      </c>
      <c r="D82" s="8">
        <v>1</v>
      </c>
      <c r="E82" s="8">
        <v>0</v>
      </c>
      <c r="F82" s="7">
        <f t="shared" si="26"/>
        <v>2</v>
      </c>
      <c r="G82" s="18">
        <v>6</v>
      </c>
      <c r="H82" s="18">
        <v>5030</v>
      </c>
      <c r="I82" s="19">
        <f t="shared" si="27"/>
        <v>838.33333333333337</v>
      </c>
      <c r="J82" s="18">
        <v>1509000</v>
      </c>
      <c r="K82" s="18">
        <v>1760709</v>
      </c>
      <c r="L82" s="20">
        <f t="shared" si="28"/>
        <v>1.1579189686924494</v>
      </c>
      <c r="M82" s="11">
        <v>4</v>
      </c>
      <c r="N82" s="11">
        <v>2158</v>
      </c>
      <c r="O82" s="9">
        <f>N82/M82</f>
        <v>539.5</v>
      </c>
      <c r="P82" s="11">
        <v>647400</v>
      </c>
      <c r="Q82" s="11">
        <v>649496</v>
      </c>
      <c r="R82" s="21">
        <f t="shared" si="29"/>
        <v>0.66604938271604941</v>
      </c>
      <c r="S82" s="14"/>
      <c r="T82" s="14"/>
      <c r="U82" s="15"/>
      <c r="V82" s="14"/>
      <c r="W82" s="14"/>
      <c r="X82" s="15"/>
      <c r="Y82" s="24">
        <f t="shared" si="31"/>
        <v>0.91198417570424939</v>
      </c>
    </row>
    <row r="83" spans="1:25" ht="16" x14ac:dyDescent="0.2">
      <c r="A83" s="8">
        <v>83</v>
      </c>
      <c r="B83" s="3" t="s">
        <v>65</v>
      </c>
      <c r="C83" s="8">
        <v>1</v>
      </c>
      <c r="D83" s="8">
        <v>1</v>
      </c>
      <c r="E83" s="8">
        <v>1</v>
      </c>
      <c r="F83" s="7">
        <f t="shared" si="26"/>
        <v>3</v>
      </c>
      <c r="G83" s="18">
        <v>1</v>
      </c>
      <c r="H83" s="18">
        <v>494</v>
      </c>
      <c r="I83" s="19">
        <f t="shared" si="27"/>
        <v>494</v>
      </c>
      <c r="J83" s="18">
        <v>148200</v>
      </c>
      <c r="K83" s="18">
        <v>101511</v>
      </c>
      <c r="L83" s="20">
        <f t="shared" si="28"/>
        <v>0.68232044198895025</v>
      </c>
      <c r="M83" s="11">
        <v>1.5</v>
      </c>
      <c r="N83" s="11">
        <v>593</v>
      </c>
      <c r="O83" s="9">
        <f>N83/M83</f>
        <v>395.33333333333331</v>
      </c>
      <c r="P83" s="11">
        <v>177900</v>
      </c>
      <c r="Q83" s="11">
        <v>142290</v>
      </c>
      <c r="R83" s="21">
        <f t="shared" si="29"/>
        <v>0.48806584362139915</v>
      </c>
      <c r="S83" s="14">
        <v>1.5</v>
      </c>
      <c r="T83" s="14">
        <v>1065</v>
      </c>
      <c r="U83" s="15">
        <f>T83/S83</f>
        <v>710</v>
      </c>
      <c r="V83" s="14">
        <f>T83*300</f>
        <v>319500</v>
      </c>
      <c r="W83" s="14">
        <v>133706</v>
      </c>
      <c r="X83" s="15">
        <f t="shared" si="30"/>
        <v>0.87546239210850807</v>
      </c>
      <c r="Y83" s="24">
        <f t="shared" si="31"/>
        <v>0.68194955923961909</v>
      </c>
    </row>
    <row r="84" spans="1:25" ht="16" x14ac:dyDescent="0.2">
      <c r="A84" s="8">
        <v>84</v>
      </c>
      <c r="B84" s="3" t="s">
        <v>66</v>
      </c>
      <c r="C84" s="8">
        <v>1</v>
      </c>
      <c r="D84" s="8">
        <v>1</v>
      </c>
      <c r="E84" s="8">
        <v>1</v>
      </c>
      <c r="F84" s="7">
        <f t="shared" si="26"/>
        <v>3</v>
      </c>
      <c r="G84" s="18">
        <v>2</v>
      </c>
      <c r="H84" s="18">
        <v>480</v>
      </c>
      <c r="I84" s="19">
        <f t="shared" si="27"/>
        <v>240</v>
      </c>
      <c r="J84" s="18">
        <v>144000</v>
      </c>
      <c r="K84" s="18">
        <v>140022</v>
      </c>
      <c r="L84" s="20">
        <f t="shared" si="28"/>
        <v>0.33149171270718231</v>
      </c>
      <c r="M84" s="11">
        <v>1</v>
      </c>
      <c r="N84" s="11">
        <v>723</v>
      </c>
      <c r="O84" s="9">
        <f>N84/M84</f>
        <v>723</v>
      </c>
      <c r="P84" s="11">
        <v>216900</v>
      </c>
      <c r="Q84" s="11">
        <v>139180</v>
      </c>
      <c r="R84" s="21">
        <f t="shared" si="29"/>
        <v>0.8925925925925926</v>
      </c>
      <c r="S84" s="14">
        <v>1.5</v>
      </c>
      <c r="T84" s="14">
        <v>955</v>
      </c>
      <c r="U84" s="15">
        <f>T84/S84</f>
        <v>636.66666666666663</v>
      </c>
      <c r="V84" s="14">
        <f>T84*300</f>
        <v>286500</v>
      </c>
      <c r="W84" s="14">
        <v>130376</v>
      </c>
      <c r="X84" s="15">
        <f t="shared" si="30"/>
        <v>0.78503904644471845</v>
      </c>
      <c r="Y84" s="24">
        <f t="shared" si="31"/>
        <v>0.6697077839148311</v>
      </c>
    </row>
    <row r="85" spans="1:25" ht="16" x14ac:dyDescent="0.2">
      <c r="A85" s="8">
        <v>85</v>
      </c>
      <c r="B85" s="3" t="s">
        <v>67</v>
      </c>
      <c r="C85" s="8">
        <v>1</v>
      </c>
      <c r="D85" s="8">
        <v>1</v>
      </c>
      <c r="E85" s="8">
        <v>1</v>
      </c>
      <c r="F85" s="7">
        <f t="shared" si="26"/>
        <v>3</v>
      </c>
      <c r="G85" s="18">
        <v>0.5</v>
      </c>
      <c r="H85" s="18">
        <v>442</v>
      </c>
      <c r="I85" s="19">
        <f t="shared" si="27"/>
        <v>884</v>
      </c>
      <c r="J85" s="18">
        <v>132600</v>
      </c>
      <c r="K85" s="18">
        <v>98011</v>
      </c>
      <c r="L85" s="20">
        <f t="shared" si="28"/>
        <v>1.2209944751381216</v>
      </c>
      <c r="M85" s="11">
        <v>1</v>
      </c>
      <c r="N85" s="11">
        <v>595</v>
      </c>
      <c r="O85" s="9">
        <f>N85/M85</f>
        <v>595</v>
      </c>
      <c r="P85" s="11">
        <v>178500</v>
      </c>
      <c r="Q85" s="11">
        <v>138296</v>
      </c>
      <c r="R85" s="21">
        <f t="shared" si="29"/>
        <v>0.73456790123456794</v>
      </c>
      <c r="S85" s="14">
        <v>1.25</v>
      </c>
      <c r="T85" s="14">
        <v>636</v>
      </c>
      <c r="U85" s="15">
        <f>T85/S85</f>
        <v>508.8</v>
      </c>
      <c r="V85" s="14">
        <f>T85*300</f>
        <v>190800</v>
      </c>
      <c r="W85" s="14">
        <v>129408</v>
      </c>
      <c r="X85" s="15">
        <f t="shared" si="30"/>
        <v>0.62737361282367454</v>
      </c>
      <c r="Y85" s="24">
        <f t="shared" si="31"/>
        <v>0.86097866306545467</v>
      </c>
    </row>
    <row r="86" spans="1:25" ht="16" x14ac:dyDescent="0.2">
      <c r="A86" s="8">
        <v>86</v>
      </c>
      <c r="B86" s="3" t="s">
        <v>113</v>
      </c>
      <c r="C86" s="8">
        <v>1</v>
      </c>
      <c r="D86" s="8">
        <v>0</v>
      </c>
      <c r="E86" s="8">
        <v>0</v>
      </c>
      <c r="F86" s="7">
        <f t="shared" si="26"/>
        <v>1</v>
      </c>
      <c r="G86" s="18">
        <v>1</v>
      </c>
      <c r="H86" s="18">
        <v>819</v>
      </c>
      <c r="I86" s="19">
        <f t="shared" si="27"/>
        <v>819</v>
      </c>
      <c r="J86" s="18">
        <v>245700</v>
      </c>
      <c r="K86" s="18">
        <v>164522</v>
      </c>
      <c r="L86" s="20">
        <f t="shared" si="28"/>
        <v>1.1312154696132597</v>
      </c>
      <c r="M86" s="11"/>
      <c r="N86" s="11"/>
      <c r="O86" s="9"/>
      <c r="P86" s="11"/>
      <c r="Q86" s="11"/>
      <c r="R86" s="21"/>
      <c r="S86" s="14"/>
      <c r="T86" s="14"/>
      <c r="U86" s="15"/>
      <c r="V86" s="14"/>
      <c r="W86" s="14"/>
      <c r="X86" s="15"/>
      <c r="Y86" s="24">
        <f t="shared" si="31"/>
        <v>1.1312154696132597</v>
      </c>
    </row>
    <row r="87" spans="1:25" ht="16" x14ac:dyDescent="0.2">
      <c r="A87" s="8">
        <v>87</v>
      </c>
      <c r="B87" s="3" t="s">
        <v>68</v>
      </c>
      <c r="C87" s="8">
        <v>1</v>
      </c>
      <c r="D87" s="8">
        <v>1</v>
      </c>
      <c r="E87" s="8">
        <v>1</v>
      </c>
      <c r="F87" s="7">
        <f t="shared" si="26"/>
        <v>3</v>
      </c>
      <c r="G87" s="18">
        <v>1.5</v>
      </c>
      <c r="H87" s="18">
        <v>1353</v>
      </c>
      <c r="I87" s="19">
        <f t="shared" si="27"/>
        <v>902</v>
      </c>
      <c r="J87" s="18">
        <v>405900</v>
      </c>
      <c r="K87" s="18">
        <v>196033</v>
      </c>
      <c r="L87" s="20">
        <f t="shared" si="28"/>
        <v>1.2458563535911602</v>
      </c>
      <c r="M87" s="11">
        <v>2</v>
      </c>
      <c r="N87" s="11">
        <v>1113</v>
      </c>
      <c r="O87" s="9">
        <f>N87/M87</f>
        <v>556.5</v>
      </c>
      <c r="P87" s="11">
        <v>333900</v>
      </c>
      <c r="Q87" s="11">
        <v>242350</v>
      </c>
      <c r="R87" s="21">
        <f t="shared" si="29"/>
        <v>0.687037037037037</v>
      </c>
      <c r="S87" s="14">
        <v>2.5</v>
      </c>
      <c r="T87" s="14">
        <v>1565</v>
      </c>
      <c r="U87" s="15">
        <f>T87/S87</f>
        <v>626</v>
      </c>
      <c r="V87" s="14">
        <f>T87*300</f>
        <v>469500</v>
      </c>
      <c r="W87" s="14">
        <v>262706</v>
      </c>
      <c r="X87" s="15">
        <f t="shared" si="30"/>
        <v>0.7718865598027127</v>
      </c>
      <c r="Y87" s="24">
        <f t="shared" si="31"/>
        <v>0.90159331681030341</v>
      </c>
    </row>
    <row r="88" spans="1:25" ht="16" x14ac:dyDescent="0.2">
      <c r="A88" s="8">
        <v>88</v>
      </c>
      <c r="B88" s="3" t="s">
        <v>99</v>
      </c>
      <c r="C88" s="8">
        <v>1</v>
      </c>
      <c r="D88" s="8">
        <v>1</v>
      </c>
      <c r="E88" s="8">
        <v>0</v>
      </c>
      <c r="F88" s="7">
        <f t="shared" si="26"/>
        <v>2</v>
      </c>
      <c r="G88" s="18">
        <v>3</v>
      </c>
      <c r="H88" s="18">
        <v>2480</v>
      </c>
      <c r="I88" s="19">
        <f t="shared" si="27"/>
        <v>826.66666666666663</v>
      </c>
      <c r="J88" s="18">
        <v>744000</v>
      </c>
      <c r="K88" s="18">
        <v>425588</v>
      </c>
      <c r="L88" s="20">
        <f t="shared" si="28"/>
        <v>1.141804788213628</v>
      </c>
      <c r="M88" s="11">
        <v>1</v>
      </c>
      <c r="N88" s="11">
        <v>1640</v>
      </c>
      <c r="O88" s="9">
        <f>N88/M88</f>
        <v>1640</v>
      </c>
      <c r="P88" s="11">
        <v>492000</v>
      </c>
      <c r="Q88" s="11">
        <v>287431</v>
      </c>
      <c r="R88" s="21">
        <f t="shared" si="29"/>
        <v>2.0246913580246915</v>
      </c>
      <c r="S88" s="14"/>
      <c r="T88" s="14"/>
      <c r="U88" s="15"/>
      <c r="V88" s="14"/>
      <c r="W88" s="14"/>
      <c r="X88" s="15"/>
      <c r="Y88" s="24">
        <f t="shared" si="31"/>
        <v>1.5832480731191598</v>
      </c>
    </row>
    <row r="89" spans="1:25" ht="16" x14ac:dyDescent="0.2">
      <c r="A89" s="8">
        <v>89</v>
      </c>
      <c r="B89" s="3" t="s">
        <v>114</v>
      </c>
      <c r="C89" s="8">
        <v>1</v>
      </c>
      <c r="D89" s="8">
        <v>0</v>
      </c>
      <c r="E89" s="8">
        <v>0</v>
      </c>
      <c r="F89" s="7">
        <f t="shared" si="26"/>
        <v>1</v>
      </c>
      <c r="G89" s="18">
        <v>0.25</v>
      </c>
      <c r="H89" s="18">
        <v>235</v>
      </c>
      <c r="I89" s="19">
        <f t="shared" si="27"/>
        <v>940</v>
      </c>
      <c r="J89" s="18">
        <v>70500</v>
      </c>
      <c r="K89" s="18">
        <v>28000</v>
      </c>
      <c r="L89" s="20">
        <f t="shared" si="28"/>
        <v>1.298342541436464</v>
      </c>
      <c r="M89" s="11"/>
      <c r="N89" s="11"/>
      <c r="O89" s="9"/>
      <c r="P89" s="11"/>
      <c r="Q89" s="11"/>
      <c r="R89" s="21"/>
      <c r="S89" s="14"/>
      <c r="T89" s="14"/>
      <c r="U89" s="15"/>
      <c r="V89" s="14"/>
      <c r="W89" s="14"/>
      <c r="X89" s="15"/>
      <c r="Y89" s="24">
        <f t="shared" si="31"/>
        <v>1.298342541436464</v>
      </c>
    </row>
    <row r="90" spans="1:25" ht="16" x14ac:dyDescent="0.2">
      <c r="A90" s="8">
        <v>90</v>
      </c>
      <c r="B90" s="3" t="s">
        <v>100</v>
      </c>
      <c r="C90" s="8">
        <v>1</v>
      </c>
      <c r="D90" s="8">
        <v>1</v>
      </c>
      <c r="E90" s="8">
        <v>1</v>
      </c>
      <c r="F90" s="7">
        <f t="shared" si="26"/>
        <v>3</v>
      </c>
      <c r="G90" s="18">
        <v>1</v>
      </c>
      <c r="H90" s="18">
        <v>1969</v>
      </c>
      <c r="I90" s="19">
        <f t="shared" si="27"/>
        <v>1969</v>
      </c>
      <c r="J90" s="18">
        <v>590700</v>
      </c>
      <c r="K90" s="18">
        <v>353577</v>
      </c>
      <c r="L90" s="20">
        <f t="shared" si="28"/>
        <v>2.7196132596685083</v>
      </c>
      <c r="M90" s="11">
        <v>1</v>
      </c>
      <c r="N90" s="11">
        <v>1150</v>
      </c>
      <c r="O90" s="9">
        <f>N90/M90</f>
        <v>1150</v>
      </c>
      <c r="P90" s="11">
        <v>345000</v>
      </c>
      <c r="Q90" s="11">
        <v>249461</v>
      </c>
      <c r="R90" s="21">
        <f t="shared" si="29"/>
        <v>1.4197530864197532</v>
      </c>
      <c r="S90" s="14">
        <v>1</v>
      </c>
      <c r="T90" s="14">
        <v>483</v>
      </c>
      <c r="U90" s="15">
        <f>T90/S90</f>
        <v>483</v>
      </c>
      <c r="V90" s="14">
        <f>T90*300</f>
        <v>144900</v>
      </c>
      <c r="W90" s="14">
        <v>130960</v>
      </c>
      <c r="X90" s="15">
        <f t="shared" si="30"/>
        <v>0.59556103575832309</v>
      </c>
      <c r="Y90" s="24">
        <f t="shared" si="31"/>
        <v>1.5783091272821947</v>
      </c>
    </row>
    <row r="91" spans="1:25" ht="16" x14ac:dyDescent="0.2">
      <c r="A91" s="8">
        <v>91</v>
      </c>
      <c r="B91" s="3" t="s">
        <v>69</v>
      </c>
      <c r="C91" s="8">
        <v>1</v>
      </c>
      <c r="D91" s="8">
        <v>1</v>
      </c>
      <c r="E91" s="8">
        <v>1</v>
      </c>
      <c r="F91" s="7">
        <f t="shared" si="26"/>
        <v>3</v>
      </c>
      <c r="G91" s="18">
        <v>1</v>
      </c>
      <c r="H91" s="18">
        <v>1098</v>
      </c>
      <c r="I91" s="19">
        <f t="shared" si="27"/>
        <v>1098</v>
      </c>
      <c r="J91" s="18">
        <v>329400</v>
      </c>
      <c r="K91" s="18">
        <v>101511</v>
      </c>
      <c r="L91" s="20">
        <f t="shared" si="28"/>
        <v>1.5165745856353592</v>
      </c>
      <c r="M91" s="11">
        <v>1</v>
      </c>
      <c r="N91" s="11">
        <v>1090</v>
      </c>
      <c r="O91" s="9">
        <f>N91/M91</f>
        <v>1090</v>
      </c>
      <c r="P91" s="11">
        <v>327000</v>
      </c>
      <c r="Q91" s="11">
        <v>126770</v>
      </c>
      <c r="R91" s="21">
        <f t="shared" si="29"/>
        <v>1.345679012345679</v>
      </c>
      <c r="S91" s="14">
        <v>1</v>
      </c>
      <c r="T91" s="14">
        <v>1835</v>
      </c>
      <c r="U91" s="15">
        <f>T91/S91</f>
        <v>1835</v>
      </c>
      <c r="V91" s="14">
        <f>T91*300</f>
        <v>550500</v>
      </c>
      <c r="W91" s="14">
        <v>156445</v>
      </c>
      <c r="X91" s="15">
        <f t="shared" si="30"/>
        <v>2.2626387176325524</v>
      </c>
      <c r="Y91" s="24">
        <f t="shared" si="31"/>
        <v>1.7082974385378635</v>
      </c>
    </row>
    <row r="92" spans="1:25" ht="16" x14ac:dyDescent="0.2">
      <c r="A92" s="8">
        <v>92</v>
      </c>
      <c r="B92" s="3" t="s">
        <v>115</v>
      </c>
      <c r="C92" s="8">
        <v>1</v>
      </c>
      <c r="D92" s="8">
        <v>0</v>
      </c>
      <c r="E92" s="8">
        <v>0</v>
      </c>
      <c r="F92" s="7">
        <f t="shared" si="26"/>
        <v>1</v>
      </c>
      <c r="G92" s="18">
        <v>1</v>
      </c>
      <c r="H92" s="18">
        <v>713</v>
      </c>
      <c r="I92" s="19">
        <f t="shared" si="27"/>
        <v>713</v>
      </c>
      <c r="J92" s="18">
        <v>213900</v>
      </c>
      <c r="K92" s="18">
        <v>161022</v>
      </c>
      <c r="L92" s="20">
        <f t="shared" si="28"/>
        <v>0.98480662983425415</v>
      </c>
      <c r="M92" s="11"/>
      <c r="N92" s="11"/>
      <c r="O92" s="9"/>
      <c r="P92" s="11"/>
      <c r="Q92" s="11"/>
      <c r="R92" s="21"/>
      <c r="S92" s="14"/>
      <c r="T92" s="14"/>
      <c r="U92" s="15"/>
      <c r="V92" s="14"/>
      <c r="W92" s="14"/>
      <c r="X92" s="15"/>
      <c r="Y92" s="24">
        <f t="shared" si="31"/>
        <v>0.98480662983425415</v>
      </c>
    </row>
    <row r="93" spans="1:25" ht="16" x14ac:dyDescent="0.2">
      <c r="A93" s="8">
        <v>93</v>
      </c>
      <c r="B93" s="3" t="s">
        <v>116</v>
      </c>
      <c r="C93" s="8">
        <v>1</v>
      </c>
      <c r="D93" s="8">
        <v>0</v>
      </c>
      <c r="E93" s="8">
        <v>0</v>
      </c>
      <c r="F93" s="7">
        <f t="shared" si="26"/>
        <v>1</v>
      </c>
      <c r="G93" s="18">
        <v>1</v>
      </c>
      <c r="H93" s="18">
        <v>108</v>
      </c>
      <c r="I93" s="19">
        <f t="shared" si="27"/>
        <v>108</v>
      </c>
      <c r="J93" s="18">
        <v>32400</v>
      </c>
      <c r="K93" s="18">
        <v>129511</v>
      </c>
      <c r="L93" s="20">
        <f t="shared" si="28"/>
        <v>0.14917127071823205</v>
      </c>
      <c r="M93" s="11"/>
      <c r="N93" s="11"/>
      <c r="O93" s="9"/>
      <c r="P93" s="11"/>
      <c r="Q93" s="11"/>
      <c r="R93" s="21"/>
      <c r="S93" s="14"/>
      <c r="T93" s="14"/>
      <c r="U93" s="15"/>
      <c r="V93" s="14"/>
      <c r="W93" s="14"/>
      <c r="X93" s="15"/>
      <c r="Y93" s="24">
        <f t="shared" si="31"/>
        <v>0.14917127071823205</v>
      </c>
    </row>
    <row r="94" spans="1:25" ht="16" x14ac:dyDescent="0.2">
      <c r="A94" s="8">
        <v>94</v>
      </c>
      <c r="B94" s="3" t="s">
        <v>70</v>
      </c>
      <c r="C94" s="8">
        <v>1</v>
      </c>
      <c r="D94" s="8">
        <v>1</v>
      </c>
      <c r="E94" s="8">
        <v>1</v>
      </c>
      <c r="F94" s="7">
        <f t="shared" si="26"/>
        <v>3</v>
      </c>
      <c r="G94" s="18">
        <v>2</v>
      </c>
      <c r="H94" s="18">
        <v>504</v>
      </c>
      <c r="I94" s="19">
        <f t="shared" si="27"/>
        <v>252</v>
      </c>
      <c r="J94" s="18">
        <v>151200</v>
      </c>
      <c r="K94" s="18">
        <v>189033</v>
      </c>
      <c r="L94" s="20">
        <f t="shared" si="28"/>
        <v>0.34806629834254144</v>
      </c>
      <c r="M94" s="11">
        <v>1.5</v>
      </c>
      <c r="N94" s="11">
        <v>1105</v>
      </c>
      <c r="O94" s="9">
        <f>N94/M94</f>
        <v>736.66666666666663</v>
      </c>
      <c r="P94" s="11">
        <v>331500</v>
      </c>
      <c r="Q94" s="11">
        <v>193326</v>
      </c>
      <c r="R94" s="21">
        <f t="shared" si="29"/>
        <v>0.90946502057613166</v>
      </c>
      <c r="S94" s="14">
        <v>1</v>
      </c>
      <c r="T94" s="14">
        <v>783</v>
      </c>
      <c r="U94" s="15">
        <f>T94/S94</f>
        <v>783</v>
      </c>
      <c r="V94" s="14">
        <f>T94*300</f>
        <v>234900</v>
      </c>
      <c r="W94" s="14">
        <v>165360</v>
      </c>
      <c r="X94" s="15">
        <f t="shared" si="30"/>
        <v>0.96547472256473488</v>
      </c>
      <c r="Y94" s="24">
        <f t="shared" si="31"/>
        <v>0.74100201382780251</v>
      </c>
    </row>
    <row r="95" spans="1:25" ht="16" x14ac:dyDescent="0.2">
      <c r="A95" s="8">
        <v>95</v>
      </c>
      <c r="B95" s="3" t="s">
        <v>117</v>
      </c>
      <c r="C95" s="8">
        <v>1</v>
      </c>
      <c r="D95" s="8">
        <v>0</v>
      </c>
      <c r="E95" s="8">
        <v>0</v>
      </c>
      <c r="F95" s="7">
        <f t="shared" si="26"/>
        <v>1</v>
      </c>
      <c r="G95" s="18">
        <v>0.25</v>
      </c>
      <c r="H95" s="18">
        <v>177</v>
      </c>
      <c r="I95" s="19">
        <f t="shared" si="27"/>
        <v>708</v>
      </c>
      <c r="J95" s="18">
        <v>53100</v>
      </c>
      <c r="K95" s="18">
        <v>154033</v>
      </c>
      <c r="L95" s="20">
        <f t="shared" si="28"/>
        <v>0.97790055248618779</v>
      </c>
      <c r="M95" s="11"/>
      <c r="N95" s="11"/>
      <c r="O95" s="9"/>
      <c r="P95" s="11"/>
      <c r="Q95" s="11"/>
      <c r="R95" s="21"/>
      <c r="S95" s="14"/>
      <c r="T95" s="14"/>
      <c r="U95" s="15"/>
      <c r="V95" s="14"/>
      <c r="W95" s="14"/>
      <c r="X95" s="15"/>
      <c r="Y95" s="24">
        <f t="shared" si="31"/>
        <v>0.97790055248618779</v>
      </c>
    </row>
    <row r="96" spans="1:25" ht="16" x14ac:dyDescent="0.2">
      <c r="A96" s="8">
        <v>96</v>
      </c>
      <c r="B96" s="3" t="s">
        <v>101</v>
      </c>
      <c r="C96" s="8">
        <v>1</v>
      </c>
      <c r="D96" s="8">
        <v>1</v>
      </c>
      <c r="E96" s="8">
        <v>1</v>
      </c>
      <c r="F96" s="7">
        <f t="shared" si="26"/>
        <v>3</v>
      </c>
      <c r="G96" s="18">
        <v>5</v>
      </c>
      <c r="H96" s="18">
        <v>3980</v>
      </c>
      <c r="I96" s="19">
        <f t="shared" si="27"/>
        <v>796</v>
      </c>
      <c r="J96" s="18">
        <v>1194000</v>
      </c>
      <c r="K96" s="18">
        <v>675665</v>
      </c>
      <c r="L96" s="20">
        <f t="shared" si="28"/>
        <v>1.0994475138121547</v>
      </c>
      <c r="M96" s="11">
        <v>4</v>
      </c>
      <c r="N96" s="11">
        <v>2330</v>
      </c>
      <c r="O96" s="9">
        <f t="shared" ref="O96:O103" si="34">N96/M96</f>
        <v>582.5</v>
      </c>
      <c r="P96" s="11">
        <v>699000</v>
      </c>
      <c r="Q96" s="11">
        <v>673501</v>
      </c>
      <c r="R96" s="21">
        <f t="shared" si="29"/>
        <v>0.71913580246913578</v>
      </c>
      <c r="S96" s="14">
        <v>0.5</v>
      </c>
      <c r="T96" s="14">
        <v>400</v>
      </c>
      <c r="U96" s="15">
        <f t="shared" ref="U96:U103" si="35">T96/S96</f>
        <v>800</v>
      </c>
      <c r="V96" s="14">
        <f t="shared" ref="V96:V103" si="36">T96*300</f>
        <v>120000</v>
      </c>
      <c r="W96" s="14">
        <v>93200</v>
      </c>
      <c r="X96" s="15">
        <f t="shared" si="30"/>
        <v>0.98643649815043155</v>
      </c>
      <c r="Y96" s="24">
        <f t="shared" si="31"/>
        <v>0.93500660481057396</v>
      </c>
    </row>
    <row r="97" spans="1:25" ht="16" x14ac:dyDescent="0.2">
      <c r="A97" s="8">
        <v>97</v>
      </c>
      <c r="B97" s="3" t="s">
        <v>71</v>
      </c>
      <c r="C97" s="8">
        <v>1</v>
      </c>
      <c r="D97" s="8">
        <v>1</v>
      </c>
      <c r="E97" s="8">
        <v>1</v>
      </c>
      <c r="F97" s="7">
        <f t="shared" si="26"/>
        <v>3</v>
      </c>
      <c r="G97" s="18">
        <v>2</v>
      </c>
      <c r="H97" s="18">
        <v>772</v>
      </c>
      <c r="I97" s="19">
        <f t="shared" si="27"/>
        <v>386</v>
      </c>
      <c r="J97" s="18">
        <v>231600</v>
      </c>
      <c r="K97" s="18">
        <v>385077</v>
      </c>
      <c r="L97" s="20">
        <f t="shared" si="28"/>
        <v>0.53314917127071826</v>
      </c>
      <c r="M97" s="11">
        <v>2</v>
      </c>
      <c r="N97" s="11">
        <v>2400</v>
      </c>
      <c r="O97" s="9">
        <f t="shared" si="34"/>
        <v>1200</v>
      </c>
      <c r="P97" s="11">
        <v>720000</v>
      </c>
      <c r="Q97" s="11">
        <v>444722</v>
      </c>
      <c r="R97" s="21">
        <f t="shared" si="29"/>
        <v>1.4814814814814814</v>
      </c>
      <c r="S97" s="14">
        <v>3</v>
      </c>
      <c r="T97" s="14">
        <v>3237</v>
      </c>
      <c r="U97" s="15">
        <f t="shared" si="35"/>
        <v>1079</v>
      </c>
      <c r="V97" s="14">
        <f t="shared" si="36"/>
        <v>971100</v>
      </c>
      <c r="W97" s="14">
        <v>550733</v>
      </c>
      <c r="X97" s="15">
        <f t="shared" si="30"/>
        <v>1.3304562268803946</v>
      </c>
      <c r="Y97" s="24">
        <f t="shared" si="31"/>
        <v>1.1150289598775316</v>
      </c>
    </row>
    <row r="98" spans="1:25" ht="16" x14ac:dyDescent="0.2">
      <c r="A98" s="8">
        <v>98</v>
      </c>
      <c r="B98" s="3" t="s">
        <v>72</v>
      </c>
      <c r="C98" s="8">
        <v>1</v>
      </c>
      <c r="D98" s="8">
        <v>1</v>
      </c>
      <c r="E98" s="8">
        <v>1</v>
      </c>
      <c r="F98" s="7">
        <f t="shared" ref="F98:F129" si="37">C98+D98+E98</f>
        <v>3</v>
      </c>
      <c r="G98" s="18">
        <v>2</v>
      </c>
      <c r="H98" s="18">
        <v>1483</v>
      </c>
      <c r="I98" s="19">
        <f t="shared" ref="I98:I111" si="38">H98/G98</f>
        <v>741.5</v>
      </c>
      <c r="J98" s="18">
        <v>444900</v>
      </c>
      <c r="K98" s="18">
        <v>406000</v>
      </c>
      <c r="L98" s="20">
        <f t="shared" ref="L98:L111" si="39">I98/724</f>
        <v>1.024171270718232</v>
      </c>
      <c r="M98" s="11">
        <v>1.25</v>
      </c>
      <c r="N98" s="11">
        <v>797</v>
      </c>
      <c r="O98" s="9">
        <f t="shared" si="34"/>
        <v>637.6</v>
      </c>
      <c r="P98" s="11">
        <v>239100</v>
      </c>
      <c r="Q98" s="11">
        <v>184902</v>
      </c>
      <c r="R98" s="21">
        <f t="shared" si="29"/>
        <v>0.78716049382716047</v>
      </c>
      <c r="S98" s="14">
        <v>0.75</v>
      </c>
      <c r="T98" s="14">
        <v>453</v>
      </c>
      <c r="U98" s="15">
        <f t="shared" si="35"/>
        <v>604</v>
      </c>
      <c r="V98" s="14">
        <f t="shared" si="36"/>
        <v>135900</v>
      </c>
      <c r="W98" s="14">
        <v>138370</v>
      </c>
      <c r="X98" s="15">
        <f t="shared" si="30"/>
        <v>0.7447595561035758</v>
      </c>
      <c r="Y98" s="24">
        <f t="shared" si="31"/>
        <v>0.85203044021632268</v>
      </c>
    </row>
    <row r="99" spans="1:25" ht="16" x14ac:dyDescent="0.2">
      <c r="A99" s="8">
        <v>99</v>
      </c>
      <c r="B99" s="3" t="s">
        <v>73</v>
      </c>
      <c r="C99" s="8">
        <v>1</v>
      </c>
      <c r="D99" s="8">
        <v>1</v>
      </c>
      <c r="E99" s="8">
        <v>1</v>
      </c>
      <c r="F99" s="7">
        <f t="shared" si="37"/>
        <v>3</v>
      </c>
      <c r="G99" s="18">
        <v>1</v>
      </c>
      <c r="H99" s="18">
        <v>366</v>
      </c>
      <c r="I99" s="19">
        <f t="shared" si="38"/>
        <v>366</v>
      </c>
      <c r="J99" s="18">
        <v>109800</v>
      </c>
      <c r="K99" s="18">
        <v>136522</v>
      </c>
      <c r="L99" s="20">
        <f t="shared" si="39"/>
        <v>0.50552486187845302</v>
      </c>
      <c r="M99" s="11">
        <v>1</v>
      </c>
      <c r="N99" s="11">
        <v>704</v>
      </c>
      <c r="O99" s="9">
        <f t="shared" si="34"/>
        <v>704</v>
      </c>
      <c r="P99" s="11">
        <v>211200</v>
      </c>
      <c r="Q99" s="11">
        <v>124612</v>
      </c>
      <c r="R99" s="21">
        <f t="shared" si="29"/>
        <v>0.8691358024691358</v>
      </c>
      <c r="S99" s="14">
        <v>1</v>
      </c>
      <c r="T99" s="14">
        <v>478</v>
      </c>
      <c r="U99" s="15">
        <f t="shared" si="35"/>
        <v>478</v>
      </c>
      <c r="V99" s="14">
        <f t="shared" si="36"/>
        <v>143400</v>
      </c>
      <c r="W99" s="14">
        <v>199445</v>
      </c>
      <c r="X99" s="15">
        <f t="shared" si="30"/>
        <v>0.58939580764488286</v>
      </c>
      <c r="Y99" s="24">
        <f t="shared" si="31"/>
        <v>0.65468549066415727</v>
      </c>
    </row>
    <row r="100" spans="1:25" ht="16" x14ac:dyDescent="0.2">
      <c r="A100" s="8">
        <v>100</v>
      </c>
      <c r="B100" s="3" t="s">
        <v>74</v>
      </c>
      <c r="C100" s="8">
        <v>1</v>
      </c>
      <c r="D100" s="8">
        <v>1</v>
      </c>
      <c r="E100" s="8">
        <v>1</v>
      </c>
      <c r="F100" s="7">
        <f t="shared" si="37"/>
        <v>3</v>
      </c>
      <c r="G100" s="18">
        <v>1</v>
      </c>
      <c r="H100" s="18">
        <v>425</v>
      </c>
      <c r="I100" s="19">
        <f t="shared" si="38"/>
        <v>425</v>
      </c>
      <c r="J100" s="18">
        <v>127500</v>
      </c>
      <c r="K100" s="18">
        <v>91011</v>
      </c>
      <c r="L100" s="20">
        <f t="shared" si="39"/>
        <v>0.58701657458563539</v>
      </c>
      <c r="M100" s="11">
        <v>0.75</v>
      </c>
      <c r="N100" s="11">
        <v>634</v>
      </c>
      <c r="O100" s="9">
        <f t="shared" si="34"/>
        <v>845.33333333333337</v>
      </c>
      <c r="P100" s="11">
        <v>190200</v>
      </c>
      <c r="Q100" s="11">
        <v>114902</v>
      </c>
      <c r="R100" s="21">
        <f t="shared" si="29"/>
        <v>1.0436213991769547</v>
      </c>
      <c r="S100" s="14">
        <v>1</v>
      </c>
      <c r="T100" s="14">
        <v>900</v>
      </c>
      <c r="U100" s="15">
        <f t="shared" si="35"/>
        <v>900</v>
      </c>
      <c r="V100" s="14">
        <f t="shared" si="36"/>
        <v>270000</v>
      </c>
      <c r="W100" s="14">
        <v>172711</v>
      </c>
      <c r="X100" s="15">
        <f t="shared" si="30"/>
        <v>1.1097410604192355</v>
      </c>
      <c r="Y100" s="24">
        <f t="shared" si="31"/>
        <v>0.91345967806060857</v>
      </c>
    </row>
    <row r="101" spans="1:25" ht="16" x14ac:dyDescent="0.2">
      <c r="A101" s="8">
        <v>101</v>
      </c>
      <c r="B101" s="3" t="s">
        <v>75</v>
      </c>
      <c r="C101" s="8">
        <v>1</v>
      </c>
      <c r="D101" s="8">
        <v>1</v>
      </c>
      <c r="E101" s="8">
        <v>1</v>
      </c>
      <c r="F101" s="7">
        <f t="shared" si="37"/>
        <v>3</v>
      </c>
      <c r="G101" s="18">
        <v>2</v>
      </c>
      <c r="H101" s="18">
        <v>801</v>
      </c>
      <c r="I101" s="19">
        <f t="shared" si="38"/>
        <v>400.5</v>
      </c>
      <c r="J101" s="18">
        <v>240300</v>
      </c>
      <c r="K101" s="18">
        <v>262533</v>
      </c>
      <c r="L101" s="20">
        <f t="shared" si="39"/>
        <v>0.55317679558011046</v>
      </c>
      <c r="M101" s="11">
        <v>2</v>
      </c>
      <c r="N101" s="11">
        <v>1208</v>
      </c>
      <c r="O101" s="9">
        <f t="shared" si="34"/>
        <v>604</v>
      </c>
      <c r="P101" s="11">
        <v>362400</v>
      </c>
      <c r="Q101" s="11">
        <v>396657</v>
      </c>
      <c r="R101" s="21">
        <f t="shared" si="29"/>
        <v>0.74567901234567902</v>
      </c>
      <c r="S101" s="14">
        <v>1</v>
      </c>
      <c r="T101" s="14">
        <v>796</v>
      </c>
      <c r="U101" s="15">
        <f t="shared" si="35"/>
        <v>796</v>
      </c>
      <c r="V101" s="14">
        <f t="shared" si="36"/>
        <v>238800</v>
      </c>
      <c r="W101" s="14">
        <v>334399</v>
      </c>
      <c r="X101" s="15">
        <f t="shared" si="30"/>
        <v>0.98150431565967944</v>
      </c>
      <c r="Y101" s="24">
        <f t="shared" si="31"/>
        <v>0.7601200411951563</v>
      </c>
    </row>
    <row r="102" spans="1:25" ht="16" x14ac:dyDescent="0.2">
      <c r="A102" s="8">
        <v>102</v>
      </c>
      <c r="B102" s="3" t="s">
        <v>76</v>
      </c>
      <c r="C102" s="8">
        <v>1</v>
      </c>
      <c r="D102" s="8">
        <v>1</v>
      </c>
      <c r="E102" s="8">
        <v>1</v>
      </c>
      <c r="F102" s="7">
        <f t="shared" si="37"/>
        <v>3</v>
      </c>
      <c r="G102" s="18">
        <v>2</v>
      </c>
      <c r="H102" s="18">
        <v>397</v>
      </c>
      <c r="I102" s="19">
        <f t="shared" si="38"/>
        <v>198.5</v>
      </c>
      <c r="J102" s="18">
        <v>119100</v>
      </c>
      <c r="K102" s="18">
        <v>234544</v>
      </c>
      <c r="L102" s="20">
        <f t="shared" si="39"/>
        <v>0.27417127071823205</v>
      </c>
      <c r="M102" s="11">
        <v>1.5</v>
      </c>
      <c r="N102" s="11">
        <v>334</v>
      </c>
      <c r="O102" s="9">
        <f t="shared" si="34"/>
        <v>222.66666666666666</v>
      </c>
      <c r="P102" s="11">
        <v>100200</v>
      </c>
      <c r="Q102" s="11">
        <v>208513</v>
      </c>
      <c r="R102" s="21">
        <f t="shared" si="29"/>
        <v>0.2748971193415638</v>
      </c>
      <c r="S102" s="14">
        <v>0.75</v>
      </c>
      <c r="T102" s="14">
        <v>506</v>
      </c>
      <c r="U102" s="15">
        <f t="shared" si="35"/>
        <v>674.66666666666663</v>
      </c>
      <c r="V102" s="14">
        <f t="shared" si="36"/>
        <v>151800</v>
      </c>
      <c r="W102" s="14">
        <v>254029</v>
      </c>
      <c r="X102" s="15">
        <f t="shared" si="30"/>
        <v>0.83189478010686391</v>
      </c>
      <c r="Y102" s="24">
        <f t="shared" si="31"/>
        <v>0.46032105672221996</v>
      </c>
    </row>
    <row r="103" spans="1:25" ht="16" x14ac:dyDescent="0.2">
      <c r="A103" s="8">
        <v>103</v>
      </c>
      <c r="B103" s="3" t="s">
        <v>77</v>
      </c>
      <c r="C103" s="8">
        <v>1</v>
      </c>
      <c r="D103" s="8">
        <v>1</v>
      </c>
      <c r="E103" s="8">
        <v>1</v>
      </c>
      <c r="F103" s="7">
        <f t="shared" si="37"/>
        <v>3</v>
      </c>
      <c r="G103" s="18">
        <v>1</v>
      </c>
      <c r="H103" s="18">
        <v>767</v>
      </c>
      <c r="I103" s="19">
        <f t="shared" si="38"/>
        <v>767</v>
      </c>
      <c r="J103" s="18">
        <v>230100</v>
      </c>
      <c r="K103" s="18">
        <v>129511</v>
      </c>
      <c r="L103" s="20">
        <f t="shared" si="39"/>
        <v>1.0593922651933703</v>
      </c>
      <c r="M103" s="11">
        <v>1.5</v>
      </c>
      <c r="N103" s="11">
        <v>1553</v>
      </c>
      <c r="O103" s="9">
        <f t="shared" si="34"/>
        <v>1035.3333333333333</v>
      </c>
      <c r="P103" s="11">
        <v>465900</v>
      </c>
      <c r="Q103" s="11">
        <v>198159</v>
      </c>
      <c r="R103" s="21">
        <f t="shared" si="29"/>
        <v>1.2781893004115226</v>
      </c>
      <c r="S103" s="14">
        <v>2</v>
      </c>
      <c r="T103" s="14">
        <v>1655</v>
      </c>
      <c r="U103" s="15">
        <f t="shared" si="35"/>
        <v>827.5</v>
      </c>
      <c r="V103" s="14">
        <f t="shared" si="36"/>
        <v>496500</v>
      </c>
      <c r="W103" s="14">
        <v>362476</v>
      </c>
      <c r="X103" s="15">
        <f t="shared" si="30"/>
        <v>1.0203452527743526</v>
      </c>
      <c r="Y103" s="24">
        <f t="shared" si="31"/>
        <v>1.1193089394597484</v>
      </c>
    </row>
    <row r="104" spans="1:25" ht="16" x14ac:dyDescent="0.2">
      <c r="A104" s="8">
        <v>104</v>
      </c>
      <c r="B104" s="3" t="s">
        <v>118</v>
      </c>
      <c r="C104" s="8">
        <v>1</v>
      </c>
      <c r="D104" s="8">
        <v>0</v>
      </c>
      <c r="E104" s="8">
        <v>0</v>
      </c>
      <c r="F104" s="7">
        <f t="shared" si="37"/>
        <v>1</v>
      </c>
      <c r="G104" s="18">
        <v>3</v>
      </c>
      <c r="H104" s="18">
        <v>576</v>
      </c>
      <c r="I104" s="19">
        <f t="shared" si="38"/>
        <v>192</v>
      </c>
      <c r="J104" s="18">
        <v>172800</v>
      </c>
      <c r="K104" s="18">
        <v>399055</v>
      </c>
      <c r="L104" s="20">
        <f t="shared" si="39"/>
        <v>0.26519337016574585</v>
      </c>
      <c r="M104" s="11"/>
      <c r="N104" s="11"/>
      <c r="O104" s="9"/>
      <c r="P104" s="11"/>
      <c r="Q104" s="11"/>
      <c r="R104" s="21"/>
      <c r="S104" s="14"/>
      <c r="T104" s="14"/>
      <c r="U104" s="15"/>
      <c r="V104" s="14"/>
      <c r="W104" s="14"/>
      <c r="X104" s="15"/>
      <c r="Y104" s="24">
        <f t="shared" si="31"/>
        <v>0.26519337016574585</v>
      </c>
    </row>
    <row r="105" spans="1:25" ht="16" x14ac:dyDescent="0.2">
      <c r="A105" s="8">
        <v>105</v>
      </c>
      <c r="B105" s="3" t="s">
        <v>102</v>
      </c>
      <c r="C105" s="8">
        <v>1</v>
      </c>
      <c r="D105" s="8">
        <v>1</v>
      </c>
      <c r="E105" s="8">
        <v>0</v>
      </c>
      <c r="F105" s="7">
        <f t="shared" si="37"/>
        <v>2</v>
      </c>
      <c r="G105" s="18">
        <v>1</v>
      </c>
      <c r="H105" s="18">
        <v>369</v>
      </c>
      <c r="I105" s="19">
        <f t="shared" si="38"/>
        <v>369</v>
      </c>
      <c r="J105" s="18">
        <v>110700</v>
      </c>
      <c r="K105" s="18">
        <v>140011</v>
      </c>
      <c r="L105" s="20">
        <f t="shared" si="39"/>
        <v>0.50966850828729282</v>
      </c>
      <c r="M105" s="11">
        <v>1</v>
      </c>
      <c r="N105" s="11">
        <v>176</v>
      </c>
      <c r="O105" s="9">
        <f>N105/M105</f>
        <v>176</v>
      </c>
      <c r="P105" s="11">
        <v>52800</v>
      </c>
      <c r="Q105" s="11">
        <v>134528</v>
      </c>
      <c r="R105" s="21">
        <f t="shared" si="29"/>
        <v>0.21728395061728395</v>
      </c>
      <c r="S105" s="14"/>
      <c r="T105" s="14"/>
      <c r="U105" s="15"/>
      <c r="V105" s="14"/>
      <c r="W105" s="14"/>
      <c r="X105" s="15"/>
      <c r="Y105" s="24">
        <f t="shared" si="31"/>
        <v>0.36347622945228841</v>
      </c>
    </row>
    <row r="106" spans="1:25" ht="16" x14ac:dyDescent="0.2">
      <c r="A106" s="8">
        <v>106</v>
      </c>
      <c r="B106" s="3" t="s">
        <v>119</v>
      </c>
      <c r="C106" s="8">
        <v>1</v>
      </c>
      <c r="D106" s="8">
        <v>0</v>
      </c>
      <c r="E106" s="8">
        <v>0</v>
      </c>
      <c r="F106" s="7">
        <f t="shared" si="37"/>
        <v>1</v>
      </c>
      <c r="G106" s="18">
        <v>3</v>
      </c>
      <c r="H106" s="18">
        <v>1315</v>
      </c>
      <c r="I106" s="19">
        <f t="shared" si="38"/>
        <v>438.33333333333331</v>
      </c>
      <c r="J106" s="18">
        <v>394500</v>
      </c>
      <c r="K106" s="18">
        <v>248522</v>
      </c>
      <c r="L106" s="20">
        <f t="shared" si="39"/>
        <v>0.60543278084714547</v>
      </c>
      <c r="M106" s="11"/>
      <c r="N106" s="11"/>
      <c r="O106" s="9"/>
      <c r="P106" s="11"/>
      <c r="Q106" s="11"/>
      <c r="R106" s="21"/>
      <c r="S106" s="14"/>
      <c r="T106" s="14"/>
      <c r="U106" s="15"/>
      <c r="V106" s="14"/>
      <c r="W106" s="14"/>
      <c r="X106" s="15"/>
      <c r="Y106" s="24">
        <f t="shared" si="31"/>
        <v>0.60543278084714547</v>
      </c>
    </row>
    <row r="107" spans="1:25" ht="16" x14ac:dyDescent="0.2">
      <c r="A107" s="8">
        <v>107</v>
      </c>
      <c r="B107" s="3" t="s">
        <v>78</v>
      </c>
      <c r="C107" s="8">
        <v>1</v>
      </c>
      <c r="D107" s="8">
        <v>1</v>
      </c>
      <c r="E107" s="8">
        <v>1</v>
      </c>
      <c r="F107" s="7">
        <f t="shared" si="37"/>
        <v>3</v>
      </c>
      <c r="G107" s="18">
        <v>1</v>
      </c>
      <c r="H107" s="18">
        <v>928</v>
      </c>
      <c r="I107" s="19">
        <f t="shared" si="38"/>
        <v>928</v>
      </c>
      <c r="J107" s="18">
        <v>278400</v>
      </c>
      <c r="K107" s="18">
        <v>210033</v>
      </c>
      <c r="L107" s="20">
        <f t="shared" si="39"/>
        <v>1.281767955801105</v>
      </c>
      <c r="M107" s="11">
        <v>1.5</v>
      </c>
      <c r="N107" s="11">
        <v>1023</v>
      </c>
      <c r="O107" s="9">
        <f>N107/M107</f>
        <v>682</v>
      </c>
      <c r="P107" s="11">
        <v>306900</v>
      </c>
      <c r="Q107" s="11">
        <v>235080</v>
      </c>
      <c r="R107" s="21">
        <f t="shared" si="29"/>
        <v>0.84197530864197534</v>
      </c>
      <c r="S107" s="14">
        <v>1</v>
      </c>
      <c r="T107" s="14">
        <v>683</v>
      </c>
      <c r="U107" s="15">
        <f>T107/S107</f>
        <v>683</v>
      </c>
      <c r="V107" s="14">
        <f>T107*300</f>
        <v>204900</v>
      </c>
      <c r="W107" s="14">
        <v>230060</v>
      </c>
      <c r="X107" s="15">
        <f t="shared" si="30"/>
        <v>0.84217016029593095</v>
      </c>
      <c r="Y107" s="24">
        <f t="shared" si="31"/>
        <v>0.98863780824633718</v>
      </c>
    </row>
    <row r="108" spans="1:25" ht="16" x14ac:dyDescent="0.2">
      <c r="A108" s="8">
        <v>108</v>
      </c>
      <c r="B108" s="3" t="s">
        <v>79</v>
      </c>
      <c r="C108" s="8">
        <v>1</v>
      </c>
      <c r="D108" s="8">
        <v>1</v>
      </c>
      <c r="E108" s="8">
        <v>1</v>
      </c>
      <c r="F108" s="7">
        <f t="shared" si="37"/>
        <v>3</v>
      </c>
      <c r="G108" s="18">
        <v>1</v>
      </c>
      <c r="H108" s="18">
        <v>606</v>
      </c>
      <c r="I108" s="19">
        <f t="shared" si="38"/>
        <v>606</v>
      </c>
      <c r="J108" s="18">
        <v>181800</v>
      </c>
      <c r="K108" s="18">
        <v>203022</v>
      </c>
      <c r="L108" s="20">
        <f t="shared" si="39"/>
        <v>0.83701657458563539</v>
      </c>
      <c r="M108" s="11">
        <v>2</v>
      </c>
      <c r="N108" s="11">
        <v>1845</v>
      </c>
      <c r="O108" s="9">
        <f>N108/M108</f>
        <v>922.5</v>
      </c>
      <c r="P108" s="11">
        <v>553500</v>
      </c>
      <c r="Q108" s="11">
        <v>346046</v>
      </c>
      <c r="R108" s="21">
        <f t="shared" si="29"/>
        <v>1.1388888888888888</v>
      </c>
      <c r="S108" s="14">
        <v>3</v>
      </c>
      <c r="T108" s="14">
        <v>1564</v>
      </c>
      <c r="U108" s="15">
        <f>T108/S108</f>
        <v>521.33333333333337</v>
      </c>
      <c r="V108" s="14">
        <f>T108*300</f>
        <v>469200</v>
      </c>
      <c r="W108" s="14">
        <v>452714</v>
      </c>
      <c r="X108" s="15">
        <f t="shared" si="30"/>
        <v>0.64282778462803125</v>
      </c>
      <c r="Y108" s="24">
        <f t="shared" si="31"/>
        <v>0.87291108270085171</v>
      </c>
    </row>
    <row r="109" spans="1:25" ht="16" x14ac:dyDescent="0.2">
      <c r="A109" s="8">
        <v>109</v>
      </c>
      <c r="B109" s="3" t="s">
        <v>80</v>
      </c>
      <c r="C109" s="8">
        <v>1</v>
      </c>
      <c r="D109" s="8">
        <v>1</v>
      </c>
      <c r="E109" s="8">
        <v>1</v>
      </c>
      <c r="F109" s="7">
        <f t="shared" si="37"/>
        <v>3</v>
      </c>
      <c r="G109" s="18">
        <v>14</v>
      </c>
      <c r="H109" s="18">
        <v>13265</v>
      </c>
      <c r="I109" s="19">
        <f t="shared" si="38"/>
        <v>947.5</v>
      </c>
      <c r="J109" s="18">
        <v>3979500</v>
      </c>
      <c r="K109" s="18">
        <v>1669841</v>
      </c>
      <c r="L109" s="20">
        <f t="shared" si="39"/>
        <v>1.3087016574585635</v>
      </c>
      <c r="M109" s="11">
        <v>19</v>
      </c>
      <c r="N109" s="11">
        <v>16077</v>
      </c>
      <c r="O109" s="9">
        <f>N109/M109</f>
        <v>846.15789473684208</v>
      </c>
      <c r="P109" s="11">
        <v>4823100</v>
      </c>
      <c r="Q109" s="11">
        <v>1881885</v>
      </c>
      <c r="R109" s="21">
        <f t="shared" si="29"/>
        <v>1.0446393762183235</v>
      </c>
      <c r="S109" s="14">
        <v>25</v>
      </c>
      <c r="T109" s="14">
        <v>22546</v>
      </c>
      <c r="U109" s="15">
        <f>T109/S109</f>
        <v>901.84</v>
      </c>
      <c r="V109" s="14">
        <f>T109*300</f>
        <v>6763800</v>
      </c>
      <c r="W109" s="14">
        <v>2460248</v>
      </c>
      <c r="X109" s="15">
        <f t="shared" si="30"/>
        <v>1.1120098643649816</v>
      </c>
      <c r="Y109" s="24">
        <f t="shared" si="31"/>
        <v>1.1551169660139562</v>
      </c>
    </row>
    <row r="110" spans="1:25" ht="16" x14ac:dyDescent="0.2">
      <c r="A110" s="8">
        <v>110</v>
      </c>
      <c r="B110" s="3" t="s">
        <v>120</v>
      </c>
      <c r="C110" s="8">
        <v>1</v>
      </c>
      <c r="D110" s="8">
        <v>0</v>
      </c>
      <c r="E110" s="8">
        <v>0</v>
      </c>
      <c r="F110" s="7">
        <f t="shared" si="37"/>
        <v>1</v>
      </c>
      <c r="G110" s="18">
        <v>4</v>
      </c>
      <c r="H110" s="18">
        <v>1165</v>
      </c>
      <c r="I110" s="19">
        <f t="shared" si="38"/>
        <v>291.25</v>
      </c>
      <c r="J110" s="18">
        <v>349500</v>
      </c>
      <c r="K110" s="18">
        <v>570588</v>
      </c>
      <c r="L110" s="20">
        <f t="shared" si="39"/>
        <v>0.4022790055248619</v>
      </c>
      <c r="M110" s="11"/>
      <c r="N110" s="11"/>
      <c r="O110" s="9"/>
      <c r="P110" s="11"/>
      <c r="Q110" s="11"/>
      <c r="R110" s="21"/>
      <c r="S110" s="14"/>
      <c r="T110" s="14"/>
      <c r="U110" s="15"/>
      <c r="V110" s="14"/>
      <c r="W110" s="14"/>
      <c r="X110" s="15"/>
      <c r="Y110" s="24">
        <f t="shared" si="31"/>
        <v>0.4022790055248619</v>
      </c>
    </row>
    <row r="111" spans="1:25" ht="16" x14ac:dyDescent="0.2">
      <c r="A111" s="8">
        <v>111</v>
      </c>
      <c r="B111" s="3" t="s">
        <v>121</v>
      </c>
      <c r="C111" s="8">
        <v>1</v>
      </c>
      <c r="D111" s="8">
        <v>0</v>
      </c>
      <c r="E111" s="8">
        <v>0</v>
      </c>
      <c r="F111" s="7">
        <f t="shared" si="37"/>
        <v>1</v>
      </c>
      <c r="G111" s="18">
        <v>2</v>
      </c>
      <c r="H111" s="18">
        <v>721</v>
      </c>
      <c r="I111" s="19">
        <f t="shared" si="38"/>
        <v>360.5</v>
      </c>
      <c r="J111" s="18">
        <v>216300</v>
      </c>
      <c r="K111" s="18">
        <v>150511</v>
      </c>
      <c r="L111" s="20">
        <f t="shared" si="39"/>
        <v>0.4979281767955801</v>
      </c>
      <c r="M111" s="11"/>
      <c r="N111" s="11"/>
      <c r="O111" s="9"/>
      <c r="P111" s="11"/>
      <c r="Q111" s="11"/>
      <c r="R111" s="21"/>
      <c r="S111" s="14"/>
      <c r="T111" s="14"/>
      <c r="U111" s="15"/>
      <c r="V111" s="14"/>
      <c r="W111" s="14"/>
      <c r="X111" s="15"/>
      <c r="Y111" s="24">
        <f t="shared" si="31"/>
        <v>0.4979281767955801</v>
      </c>
    </row>
    <row r="112" spans="1:25" ht="16" x14ac:dyDescent="0.2">
      <c r="A112" s="8">
        <v>120</v>
      </c>
      <c r="B112" s="3" t="s">
        <v>125</v>
      </c>
      <c r="C112" s="8">
        <v>0</v>
      </c>
      <c r="D112" s="8">
        <v>1</v>
      </c>
      <c r="E112" s="8">
        <v>1</v>
      </c>
      <c r="F112" s="7">
        <f t="shared" si="37"/>
        <v>2</v>
      </c>
      <c r="G112" s="18"/>
      <c r="H112" s="18"/>
      <c r="I112" s="19"/>
      <c r="J112" s="18"/>
      <c r="K112" s="18"/>
      <c r="L112" s="20"/>
      <c r="M112" s="11">
        <v>2</v>
      </c>
      <c r="N112" s="11">
        <v>1154</v>
      </c>
      <c r="O112" s="9">
        <f t="shared" ref="O112:O143" si="40">N112/M112</f>
        <v>577</v>
      </c>
      <c r="P112" s="11">
        <v>346200</v>
      </c>
      <c r="Q112" s="11">
        <v>323973</v>
      </c>
      <c r="R112" s="21">
        <f t="shared" si="29"/>
        <v>0.71234567901234569</v>
      </c>
      <c r="S112" s="14">
        <v>2</v>
      </c>
      <c r="T112" s="14">
        <v>1954</v>
      </c>
      <c r="U112" s="15">
        <f>T112/S112</f>
        <v>977</v>
      </c>
      <c r="V112" s="14">
        <f>T112*300</f>
        <v>586200</v>
      </c>
      <c r="W112" s="14">
        <v>303884</v>
      </c>
      <c r="X112" s="15">
        <f t="shared" si="30"/>
        <v>1.2046855733662145</v>
      </c>
      <c r="Y112" s="24">
        <f t="shared" si="31"/>
        <v>0.9585156261892801</v>
      </c>
    </row>
    <row r="113" spans="1:25" ht="16" x14ac:dyDescent="0.2">
      <c r="A113" s="8">
        <v>121</v>
      </c>
      <c r="B113" s="3" t="s">
        <v>141</v>
      </c>
      <c r="C113" s="8">
        <v>0</v>
      </c>
      <c r="D113" s="8">
        <v>1</v>
      </c>
      <c r="E113" s="8">
        <v>0</v>
      </c>
      <c r="F113" s="7">
        <f t="shared" si="37"/>
        <v>1</v>
      </c>
      <c r="G113" s="18"/>
      <c r="H113" s="18"/>
      <c r="I113" s="19"/>
      <c r="J113" s="18"/>
      <c r="K113" s="18"/>
      <c r="L113" s="20"/>
      <c r="M113" s="11">
        <v>0.25</v>
      </c>
      <c r="N113" s="11">
        <v>128</v>
      </c>
      <c r="O113" s="9">
        <f t="shared" si="40"/>
        <v>512</v>
      </c>
      <c r="P113" s="11">
        <v>38400</v>
      </c>
      <c r="Q113" s="11"/>
      <c r="R113" s="21">
        <f t="shared" si="29"/>
        <v>0.63209876543209875</v>
      </c>
      <c r="S113" s="14"/>
      <c r="T113" s="14"/>
      <c r="U113" s="15"/>
      <c r="V113" s="14"/>
      <c r="W113" s="14"/>
      <c r="X113" s="15"/>
      <c r="Y113" s="24">
        <f t="shared" si="31"/>
        <v>0.63209876543209875</v>
      </c>
    </row>
    <row r="114" spans="1:25" ht="16" x14ac:dyDescent="0.2">
      <c r="A114" s="8">
        <v>122</v>
      </c>
      <c r="B114" s="3" t="s">
        <v>142</v>
      </c>
      <c r="C114" s="8">
        <v>0</v>
      </c>
      <c r="D114" s="8">
        <v>1</v>
      </c>
      <c r="E114" s="8">
        <v>0</v>
      </c>
      <c r="F114" s="7">
        <f t="shared" si="37"/>
        <v>1</v>
      </c>
      <c r="G114" s="18"/>
      <c r="H114" s="18"/>
      <c r="I114" s="19"/>
      <c r="J114" s="18"/>
      <c r="K114" s="18"/>
      <c r="L114" s="20"/>
      <c r="M114" s="11">
        <v>0.75</v>
      </c>
      <c r="N114" s="11">
        <v>476</v>
      </c>
      <c r="O114" s="9">
        <f t="shared" si="40"/>
        <v>634.66666666666663</v>
      </c>
      <c r="P114" s="11">
        <v>142800</v>
      </c>
      <c r="Q114" s="11">
        <v>94450</v>
      </c>
      <c r="R114" s="21">
        <f t="shared" si="29"/>
        <v>0.78353909465020577</v>
      </c>
      <c r="S114" s="14"/>
      <c r="T114" s="14"/>
      <c r="U114" s="15"/>
      <c r="V114" s="14"/>
      <c r="W114" s="14"/>
      <c r="X114" s="15"/>
      <c r="Y114" s="24">
        <f t="shared" si="31"/>
        <v>0.78353909465020577</v>
      </c>
    </row>
    <row r="115" spans="1:25" ht="16" x14ac:dyDescent="0.2">
      <c r="A115" s="8">
        <v>123</v>
      </c>
      <c r="B115" s="3" t="s">
        <v>143</v>
      </c>
      <c r="C115" s="8">
        <v>0</v>
      </c>
      <c r="D115" s="8">
        <v>1</v>
      </c>
      <c r="E115" s="8">
        <v>0</v>
      </c>
      <c r="F115" s="7">
        <f t="shared" si="37"/>
        <v>1</v>
      </c>
      <c r="G115" s="18"/>
      <c r="H115" s="18"/>
      <c r="I115" s="19"/>
      <c r="J115" s="18"/>
      <c r="K115" s="18"/>
      <c r="L115" s="20"/>
      <c r="M115" s="11">
        <v>1</v>
      </c>
      <c r="N115" s="11">
        <v>805</v>
      </c>
      <c r="O115" s="9">
        <f t="shared" si="40"/>
        <v>805</v>
      </c>
      <c r="P115" s="11">
        <v>241500</v>
      </c>
      <c r="Q115" s="11">
        <v>163915</v>
      </c>
      <c r="R115" s="21">
        <f t="shared" si="29"/>
        <v>0.99382716049382713</v>
      </c>
      <c r="S115" s="14"/>
      <c r="T115" s="14"/>
      <c r="U115" s="15"/>
      <c r="V115" s="14"/>
      <c r="W115" s="14"/>
      <c r="X115" s="15"/>
      <c r="Y115" s="24">
        <f t="shared" si="31"/>
        <v>0.99382716049382713</v>
      </c>
    </row>
    <row r="116" spans="1:25" ht="16" x14ac:dyDescent="0.2">
      <c r="A116" s="8">
        <v>124</v>
      </c>
      <c r="B116" s="3" t="s">
        <v>104</v>
      </c>
      <c r="C116" s="8">
        <v>0</v>
      </c>
      <c r="D116" s="8">
        <v>1</v>
      </c>
      <c r="E116" s="8">
        <v>0</v>
      </c>
      <c r="F116" s="7">
        <f t="shared" si="37"/>
        <v>1</v>
      </c>
      <c r="G116" s="18"/>
      <c r="H116" s="18"/>
      <c r="I116" s="19"/>
      <c r="J116" s="18"/>
      <c r="K116" s="18"/>
      <c r="L116" s="20"/>
      <c r="M116" s="11">
        <v>1</v>
      </c>
      <c r="N116" s="11">
        <v>1082</v>
      </c>
      <c r="O116" s="9">
        <f t="shared" si="40"/>
        <v>1082</v>
      </c>
      <c r="P116" s="11">
        <v>324600</v>
      </c>
      <c r="Q116" s="11">
        <v>168746</v>
      </c>
      <c r="R116" s="21">
        <f t="shared" si="29"/>
        <v>1.3358024691358024</v>
      </c>
      <c r="S116" s="14"/>
      <c r="T116" s="14"/>
      <c r="U116" s="15"/>
      <c r="V116" s="14"/>
      <c r="W116" s="14"/>
      <c r="X116" s="15"/>
      <c r="Y116" s="24">
        <f t="shared" si="31"/>
        <v>1.3358024691358024</v>
      </c>
    </row>
    <row r="117" spans="1:25" ht="16" x14ac:dyDescent="0.2">
      <c r="A117" s="8">
        <v>125</v>
      </c>
      <c r="B117" s="3" t="s">
        <v>144</v>
      </c>
      <c r="C117" s="8">
        <v>0</v>
      </c>
      <c r="D117" s="8">
        <v>1</v>
      </c>
      <c r="E117" s="8">
        <v>0</v>
      </c>
      <c r="F117" s="7">
        <f t="shared" si="37"/>
        <v>1</v>
      </c>
      <c r="G117" s="18"/>
      <c r="H117" s="18"/>
      <c r="I117" s="19"/>
      <c r="J117" s="18"/>
      <c r="K117" s="18"/>
      <c r="L117" s="20"/>
      <c r="M117" s="11">
        <v>0.75</v>
      </c>
      <c r="N117" s="11">
        <v>451</v>
      </c>
      <c r="O117" s="9">
        <f t="shared" si="40"/>
        <v>601.33333333333337</v>
      </c>
      <c r="P117" s="11">
        <v>135300</v>
      </c>
      <c r="Q117" s="11">
        <v>163353</v>
      </c>
      <c r="R117" s="21">
        <f t="shared" si="29"/>
        <v>0.74238683127572025</v>
      </c>
      <c r="S117" s="14"/>
      <c r="T117" s="14"/>
      <c r="U117" s="15"/>
      <c r="V117" s="14"/>
      <c r="W117" s="14"/>
      <c r="X117" s="15"/>
      <c r="Y117" s="24">
        <f t="shared" si="31"/>
        <v>0.74238683127572025</v>
      </c>
    </row>
    <row r="118" spans="1:25" ht="16" x14ac:dyDescent="0.2">
      <c r="A118" s="8">
        <v>126</v>
      </c>
      <c r="B118" s="3" t="s">
        <v>145</v>
      </c>
      <c r="C118" s="8">
        <v>0</v>
      </c>
      <c r="D118" s="8">
        <v>1</v>
      </c>
      <c r="E118" s="8">
        <v>0</v>
      </c>
      <c r="F118" s="7">
        <f t="shared" si="37"/>
        <v>1</v>
      </c>
      <c r="G118" s="18"/>
      <c r="H118" s="18"/>
      <c r="I118" s="19"/>
      <c r="J118" s="18"/>
      <c r="K118" s="18"/>
      <c r="L118" s="20"/>
      <c r="M118" s="11">
        <v>1</v>
      </c>
      <c r="N118" s="11">
        <v>518</v>
      </c>
      <c r="O118" s="9">
        <f t="shared" si="40"/>
        <v>518</v>
      </c>
      <c r="P118" s="11">
        <v>155400</v>
      </c>
      <c r="Q118" s="11">
        <v>107065</v>
      </c>
      <c r="R118" s="21">
        <f t="shared" si="29"/>
        <v>0.63950617283950617</v>
      </c>
      <c r="S118" s="14"/>
      <c r="T118" s="14"/>
      <c r="U118" s="15"/>
      <c r="V118" s="14"/>
      <c r="W118" s="14"/>
      <c r="X118" s="15"/>
      <c r="Y118" s="24">
        <f t="shared" si="31"/>
        <v>0.63950617283950617</v>
      </c>
    </row>
    <row r="119" spans="1:25" ht="16" x14ac:dyDescent="0.2">
      <c r="A119" s="8">
        <v>127</v>
      </c>
      <c r="B119" s="3" t="s">
        <v>126</v>
      </c>
      <c r="C119" s="8">
        <v>0</v>
      </c>
      <c r="D119" s="8">
        <v>1</v>
      </c>
      <c r="E119" s="8">
        <v>1</v>
      </c>
      <c r="F119" s="7">
        <f t="shared" si="37"/>
        <v>2</v>
      </c>
      <c r="G119" s="18"/>
      <c r="H119" s="18"/>
      <c r="I119" s="19"/>
      <c r="J119" s="18"/>
      <c r="K119" s="18"/>
      <c r="L119" s="20"/>
      <c r="M119" s="11">
        <v>4</v>
      </c>
      <c r="N119" s="11">
        <v>5140</v>
      </c>
      <c r="O119" s="9">
        <f t="shared" si="40"/>
        <v>1285</v>
      </c>
      <c r="P119" s="11">
        <v>1542000</v>
      </c>
      <c r="Q119" s="11">
        <v>457420</v>
      </c>
      <c r="R119" s="21">
        <f t="shared" si="29"/>
        <v>1.5864197530864197</v>
      </c>
      <c r="S119" s="14">
        <v>2.5</v>
      </c>
      <c r="T119" s="14">
        <v>2538</v>
      </c>
      <c r="U119" s="15">
        <f>T119/S119</f>
        <v>1015.2</v>
      </c>
      <c r="V119" s="14">
        <f>T119*300</f>
        <v>761400</v>
      </c>
      <c r="W119" s="14">
        <v>330647</v>
      </c>
      <c r="X119" s="15">
        <f t="shared" si="30"/>
        <v>1.2517879161528978</v>
      </c>
      <c r="Y119" s="24">
        <f t="shared" si="31"/>
        <v>1.4191038346196587</v>
      </c>
    </row>
    <row r="120" spans="1:25" ht="16" x14ac:dyDescent="0.2">
      <c r="A120" s="8">
        <v>128</v>
      </c>
      <c r="B120" s="3" t="s">
        <v>146</v>
      </c>
      <c r="C120" s="8">
        <v>0</v>
      </c>
      <c r="D120" s="8">
        <v>1</v>
      </c>
      <c r="E120" s="8">
        <v>0</v>
      </c>
      <c r="F120" s="7">
        <f t="shared" si="37"/>
        <v>1</v>
      </c>
      <c r="G120" s="18"/>
      <c r="H120" s="18"/>
      <c r="I120" s="19"/>
      <c r="J120" s="18"/>
      <c r="K120" s="18"/>
      <c r="L120" s="20"/>
      <c r="M120" s="11">
        <v>0.5</v>
      </c>
      <c r="N120" s="11">
        <v>304</v>
      </c>
      <c r="O120" s="9">
        <f t="shared" si="40"/>
        <v>608</v>
      </c>
      <c r="P120" s="11">
        <v>91200</v>
      </c>
      <c r="Q120" s="11">
        <v>99912</v>
      </c>
      <c r="R120" s="21">
        <f t="shared" si="29"/>
        <v>0.75061728395061733</v>
      </c>
      <c r="S120" s="14"/>
      <c r="T120" s="14"/>
      <c r="U120" s="15"/>
      <c r="V120" s="14"/>
      <c r="W120" s="14"/>
      <c r="X120" s="15"/>
      <c r="Y120" s="24">
        <f t="shared" si="31"/>
        <v>0.75061728395061733</v>
      </c>
    </row>
    <row r="121" spans="1:25" ht="16" x14ac:dyDescent="0.2">
      <c r="A121" s="8">
        <v>129</v>
      </c>
      <c r="B121" s="3" t="s">
        <v>147</v>
      </c>
      <c r="C121" s="8">
        <v>0</v>
      </c>
      <c r="D121" s="8">
        <v>1</v>
      </c>
      <c r="E121" s="8">
        <v>0</v>
      </c>
      <c r="F121" s="7">
        <f t="shared" si="37"/>
        <v>1</v>
      </c>
      <c r="G121" s="18"/>
      <c r="H121" s="18"/>
      <c r="I121" s="19"/>
      <c r="J121" s="18"/>
      <c r="K121" s="18"/>
      <c r="L121" s="20"/>
      <c r="M121" s="11">
        <v>3</v>
      </c>
      <c r="N121" s="11">
        <v>2900</v>
      </c>
      <c r="O121" s="9">
        <f t="shared" si="40"/>
        <v>966.66666666666663</v>
      </c>
      <c r="P121" s="11">
        <v>870000</v>
      </c>
      <c r="Q121" s="11">
        <v>334722</v>
      </c>
      <c r="R121" s="21">
        <f t="shared" si="29"/>
        <v>1.1934156378600822</v>
      </c>
      <c r="S121" s="14"/>
      <c r="T121" s="14"/>
      <c r="U121" s="15"/>
      <c r="V121" s="14"/>
      <c r="W121" s="14"/>
      <c r="X121" s="15"/>
      <c r="Y121" s="24">
        <f t="shared" si="31"/>
        <v>1.1934156378600822</v>
      </c>
    </row>
    <row r="122" spans="1:25" ht="16" x14ac:dyDescent="0.2">
      <c r="A122" s="8">
        <v>130</v>
      </c>
      <c r="B122" s="3" t="s">
        <v>127</v>
      </c>
      <c r="C122" s="8">
        <v>0</v>
      </c>
      <c r="D122" s="8">
        <v>1</v>
      </c>
      <c r="E122" s="8">
        <v>1</v>
      </c>
      <c r="F122" s="7">
        <f t="shared" si="37"/>
        <v>2</v>
      </c>
      <c r="G122" s="18"/>
      <c r="H122" s="18"/>
      <c r="I122" s="19"/>
      <c r="J122" s="18"/>
      <c r="K122" s="18"/>
      <c r="L122" s="20"/>
      <c r="M122" s="11">
        <v>0.5</v>
      </c>
      <c r="N122" s="11">
        <v>395</v>
      </c>
      <c r="O122" s="9">
        <f t="shared" si="40"/>
        <v>790</v>
      </c>
      <c r="P122" s="11">
        <v>118500</v>
      </c>
      <c r="Q122" s="11">
        <v>183696</v>
      </c>
      <c r="R122" s="21">
        <f t="shared" si="29"/>
        <v>0.97530864197530864</v>
      </c>
      <c r="S122" s="14">
        <v>2</v>
      </c>
      <c r="T122" s="14">
        <v>1449</v>
      </c>
      <c r="U122" s="15">
        <f>T122/S122</f>
        <v>724.5</v>
      </c>
      <c r="V122" s="14">
        <f>T122*300</f>
        <v>434700</v>
      </c>
      <c r="W122" s="14">
        <v>444869</v>
      </c>
      <c r="X122" s="15">
        <f t="shared" si="30"/>
        <v>0.89334155363748458</v>
      </c>
      <c r="Y122" s="24">
        <f t="shared" si="31"/>
        <v>0.93432509780639661</v>
      </c>
    </row>
    <row r="123" spans="1:25" ht="16" x14ac:dyDescent="0.2">
      <c r="A123" s="8">
        <v>131</v>
      </c>
      <c r="B123" s="3" t="s">
        <v>148</v>
      </c>
      <c r="C123" s="8">
        <v>0</v>
      </c>
      <c r="D123" s="8">
        <v>1</v>
      </c>
      <c r="E123" s="8">
        <v>0</v>
      </c>
      <c r="F123" s="7">
        <f t="shared" si="37"/>
        <v>1</v>
      </c>
      <c r="G123" s="18"/>
      <c r="H123" s="18"/>
      <c r="I123" s="19"/>
      <c r="J123" s="18"/>
      <c r="K123" s="18"/>
      <c r="L123" s="20"/>
      <c r="M123" s="11">
        <v>2</v>
      </c>
      <c r="N123" s="11">
        <v>1618</v>
      </c>
      <c r="O123" s="9">
        <f t="shared" si="40"/>
        <v>809</v>
      </c>
      <c r="P123" s="11">
        <v>485400</v>
      </c>
      <c r="Q123" s="11">
        <v>250865</v>
      </c>
      <c r="R123" s="21">
        <f t="shared" si="29"/>
        <v>0.99876543209876545</v>
      </c>
      <c r="S123" s="14"/>
      <c r="T123" s="14"/>
      <c r="U123" s="15"/>
      <c r="V123" s="14"/>
      <c r="W123" s="14"/>
      <c r="X123" s="15"/>
      <c r="Y123" s="24">
        <f t="shared" si="31"/>
        <v>0.99876543209876545</v>
      </c>
    </row>
    <row r="124" spans="1:25" ht="16" x14ac:dyDescent="0.2">
      <c r="A124" s="8">
        <v>132</v>
      </c>
      <c r="B124" s="3" t="s">
        <v>128</v>
      </c>
      <c r="C124" s="8">
        <v>0</v>
      </c>
      <c r="D124" s="8">
        <v>1</v>
      </c>
      <c r="E124" s="8">
        <v>1</v>
      </c>
      <c r="F124" s="7">
        <f t="shared" si="37"/>
        <v>2</v>
      </c>
      <c r="G124" s="18"/>
      <c r="H124" s="18"/>
      <c r="I124" s="19"/>
      <c r="J124" s="18"/>
      <c r="K124" s="18"/>
      <c r="L124" s="20"/>
      <c r="M124" s="11">
        <v>3</v>
      </c>
      <c r="N124" s="11">
        <v>3180</v>
      </c>
      <c r="O124" s="9">
        <f t="shared" si="40"/>
        <v>1060</v>
      </c>
      <c r="P124" s="11">
        <v>954000</v>
      </c>
      <c r="Q124" s="11">
        <v>9540</v>
      </c>
      <c r="R124" s="21">
        <f t="shared" si="29"/>
        <v>1.308641975308642</v>
      </c>
      <c r="S124" s="14">
        <v>2</v>
      </c>
      <c r="T124" s="14">
        <v>1686</v>
      </c>
      <c r="U124" s="15">
        <f>T124/S124</f>
        <v>843</v>
      </c>
      <c r="V124" s="14">
        <f>T124*300</f>
        <v>505800</v>
      </c>
      <c r="W124" s="14">
        <v>12558</v>
      </c>
      <c r="X124" s="15">
        <f t="shared" si="30"/>
        <v>1.0394574599260173</v>
      </c>
      <c r="Y124" s="24">
        <f t="shared" si="31"/>
        <v>1.1740497176173297</v>
      </c>
    </row>
    <row r="125" spans="1:25" ht="16" x14ac:dyDescent="0.2">
      <c r="A125" s="8">
        <v>133</v>
      </c>
      <c r="B125" s="3" t="s">
        <v>149</v>
      </c>
      <c r="C125" s="8">
        <v>0</v>
      </c>
      <c r="D125" s="8">
        <v>1</v>
      </c>
      <c r="E125" s="8">
        <v>0</v>
      </c>
      <c r="F125" s="7">
        <f t="shared" si="37"/>
        <v>1</v>
      </c>
      <c r="G125" s="18"/>
      <c r="H125" s="18"/>
      <c r="I125" s="19"/>
      <c r="J125" s="18"/>
      <c r="K125" s="18"/>
      <c r="L125" s="20"/>
      <c r="M125" s="11">
        <v>2</v>
      </c>
      <c r="N125" s="11">
        <v>1870</v>
      </c>
      <c r="O125" s="9">
        <f t="shared" si="40"/>
        <v>935</v>
      </c>
      <c r="P125" s="11">
        <v>561000</v>
      </c>
      <c r="Q125" s="11">
        <v>110610</v>
      </c>
      <c r="R125" s="21">
        <f t="shared" si="29"/>
        <v>1.154320987654321</v>
      </c>
      <c r="S125" s="14"/>
      <c r="T125" s="14"/>
      <c r="U125" s="15"/>
      <c r="V125" s="14"/>
      <c r="W125" s="14"/>
      <c r="X125" s="15"/>
      <c r="Y125" s="24">
        <f t="shared" si="31"/>
        <v>1.154320987654321</v>
      </c>
    </row>
    <row r="126" spans="1:25" ht="16" x14ac:dyDescent="0.2">
      <c r="A126" s="8">
        <v>134</v>
      </c>
      <c r="B126" s="3" t="s">
        <v>150</v>
      </c>
      <c r="C126" s="8">
        <v>0</v>
      </c>
      <c r="D126" s="8">
        <v>1</v>
      </c>
      <c r="E126" s="8">
        <v>0</v>
      </c>
      <c r="F126" s="7">
        <f t="shared" si="37"/>
        <v>1</v>
      </c>
      <c r="G126" s="18"/>
      <c r="H126" s="18"/>
      <c r="I126" s="19"/>
      <c r="J126" s="18"/>
      <c r="K126" s="18"/>
      <c r="L126" s="20"/>
      <c r="M126" s="11">
        <v>3</v>
      </c>
      <c r="N126" s="11">
        <v>2487</v>
      </c>
      <c r="O126" s="9">
        <f t="shared" si="40"/>
        <v>829</v>
      </c>
      <c r="P126" s="11">
        <v>746100</v>
      </c>
      <c r="Q126" s="11">
        <v>438983</v>
      </c>
      <c r="R126" s="21">
        <f t="shared" si="29"/>
        <v>1.0234567901234568</v>
      </c>
      <c r="S126" s="14"/>
      <c r="T126" s="14"/>
      <c r="U126" s="15"/>
      <c r="V126" s="14"/>
      <c r="W126" s="14"/>
      <c r="X126" s="15"/>
      <c r="Y126" s="24">
        <f t="shared" si="31"/>
        <v>1.0234567901234568</v>
      </c>
    </row>
    <row r="127" spans="1:25" ht="16" x14ac:dyDescent="0.2">
      <c r="A127" s="8">
        <v>135</v>
      </c>
      <c r="B127" s="3" t="s">
        <v>151</v>
      </c>
      <c r="C127" s="8">
        <v>0</v>
      </c>
      <c r="D127" s="8">
        <v>1</v>
      </c>
      <c r="E127" s="8">
        <v>0</v>
      </c>
      <c r="F127" s="7">
        <f t="shared" si="37"/>
        <v>1</v>
      </c>
      <c r="G127" s="18"/>
      <c r="H127" s="18"/>
      <c r="I127" s="19"/>
      <c r="J127" s="18"/>
      <c r="K127" s="18"/>
      <c r="L127" s="20"/>
      <c r="M127" s="11">
        <v>4</v>
      </c>
      <c r="N127" s="11">
        <v>2060</v>
      </c>
      <c r="O127" s="9">
        <f t="shared" si="40"/>
        <v>515</v>
      </c>
      <c r="P127" s="11">
        <v>618000</v>
      </c>
      <c r="Q127" s="11">
        <v>410702</v>
      </c>
      <c r="R127" s="21">
        <f t="shared" si="29"/>
        <v>0.63580246913580252</v>
      </c>
      <c r="S127" s="14"/>
      <c r="T127" s="14"/>
      <c r="U127" s="15"/>
      <c r="V127" s="14"/>
      <c r="W127" s="14"/>
      <c r="X127" s="15"/>
      <c r="Y127" s="24">
        <f t="shared" si="31"/>
        <v>0.63580246913580252</v>
      </c>
    </row>
    <row r="128" spans="1:25" ht="16" x14ac:dyDescent="0.2">
      <c r="A128" s="8">
        <v>136</v>
      </c>
      <c r="B128" s="3" t="s">
        <v>152</v>
      </c>
      <c r="C128" s="8">
        <v>0</v>
      </c>
      <c r="D128" s="8">
        <v>1</v>
      </c>
      <c r="E128" s="8">
        <v>0</v>
      </c>
      <c r="F128" s="7">
        <f t="shared" si="37"/>
        <v>1</v>
      </c>
      <c r="G128" s="18"/>
      <c r="H128" s="18"/>
      <c r="I128" s="19"/>
      <c r="J128" s="18"/>
      <c r="K128" s="18"/>
      <c r="L128" s="20"/>
      <c r="M128" s="11">
        <v>2</v>
      </c>
      <c r="N128" s="11">
        <v>1326</v>
      </c>
      <c r="O128" s="9">
        <f t="shared" si="40"/>
        <v>663</v>
      </c>
      <c r="P128" s="11">
        <v>397800</v>
      </c>
      <c r="Q128" s="11">
        <v>535022</v>
      </c>
      <c r="R128" s="21">
        <f t="shared" si="29"/>
        <v>0.81851851851851853</v>
      </c>
      <c r="S128" s="14"/>
      <c r="T128" s="14"/>
      <c r="U128" s="15"/>
      <c r="V128" s="14"/>
      <c r="W128" s="14"/>
      <c r="X128" s="15"/>
      <c r="Y128" s="24">
        <f t="shared" si="31"/>
        <v>0.81851851851851853</v>
      </c>
    </row>
    <row r="129" spans="1:25" ht="16" x14ac:dyDescent="0.2">
      <c r="A129" s="8">
        <v>137</v>
      </c>
      <c r="B129" s="3" t="s">
        <v>105</v>
      </c>
      <c r="C129" s="8">
        <v>0</v>
      </c>
      <c r="D129" s="8">
        <v>1</v>
      </c>
      <c r="E129" s="8">
        <v>0</v>
      </c>
      <c r="F129" s="7">
        <f t="shared" si="37"/>
        <v>1</v>
      </c>
      <c r="G129" s="18"/>
      <c r="H129" s="18"/>
      <c r="I129" s="19"/>
      <c r="J129" s="18"/>
      <c r="K129" s="18"/>
      <c r="L129" s="20"/>
      <c r="M129" s="11">
        <v>1</v>
      </c>
      <c r="N129" s="11">
        <v>723</v>
      </c>
      <c r="O129" s="9">
        <f t="shared" si="40"/>
        <v>723</v>
      </c>
      <c r="P129" s="11">
        <v>216900</v>
      </c>
      <c r="Q129" s="11">
        <v>124680</v>
      </c>
      <c r="R129" s="21">
        <f t="shared" si="29"/>
        <v>0.8925925925925926</v>
      </c>
      <c r="S129" s="14"/>
      <c r="T129" s="14"/>
      <c r="U129" s="15"/>
      <c r="V129" s="14"/>
      <c r="W129" s="14"/>
      <c r="X129" s="15"/>
      <c r="Y129" s="24">
        <f t="shared" si="31"/>
        <v>0.8925925925925926</v>
      </c>
    </row>
    <row r="130" spans="1:25" ht="16" x14ac:dyDescent="0.2">
      <c r="A130" s="8">
        <v>138</v>
      </c>
      <c r="B130" s="3" t="s">
        <v>122</v>
      </c>
      <c r="C130" s="8">
        <v>0</v>
      </c>
      <c r="D130" s="8">
        <v>1</v>
      </c>
      <c r="E130" s="8">
        <v>1</v>
      </c>
      <c r="F130" s="7">
        <f t="shared" ref="F130:F161" si="41">C130+D130+E130</f>
        <v>2</v>
      </c>
      <c r="G130" s="18"/>
      <c r="H130" s="18"/>
      <c r="I130" s="19"/>
      <c r="J130" s="18"/>
      <c r="K130" s="18"/>
      <c r="L130" s="20"/>
      <c r="M130" s="11">
        <v>0.5</v>
      </c>
      <c r="N130" s="11">
        <v>233</v>
      </c>
      <c r="O130" s="9">
        <f t="shared" si="40"/>
        <v>466</v>
      </c>
      <c r="P130" s="11">
        <v>69900</v>
      </c>
      <c r="Q130" s="11">
        <v>90199</v>
      </c>
      <c r="R130" s="21">
        <f t="shared" si="29"/>
        <v>0.57530864197530862</v>
      </c>
      <c r="S130" s="14">
        <v>0.75</v>
      </c>
      <c r="T130" s="14">
        <v>505</v>
      </c>
      <c r="U130" s="15">
        <f>T130/S130</f>
        <v>673.33333333333337</v>
      </c>
      <c r="V130" s="14">
        <f>T130*300</f>
        <v>151500</v>
      </c>
      <c r="W130" s="14">
        <v>99515</v>
      </c>
      <c r="X130" s="15">
        <f t="shared" si="30"/>
        <v>0.83025071927661331</v>
      </c>
      <c r="Y130" s="24">
        <f t="shared" si="31"/>
        <v>0.70277968062596097</v>
      </c>
    </row>
    <row r="131" spans="1:25" ht="16" x14ac:dyDescent="0.2">
      <c r="A131" s="8">
        <v>139</v>
      </c>
      <c r="B131" s="3" t="s">
        <v>153</v>
      </c>
      <c r="C131" s="8">
        <v>0</v>
      </c>
      <c r="D131" s="8">
        <v>1</v>
      </c>
      <c r="E131" s="8">
        <v>0</v>
      </c>
      <c r="F131" s="7">
        <f t="shared" si="41"/>
        <v>1</v>
      </c>
      <c r="G131" s="18"/>
      <c r="H131" s="18"/>
      <c r="I131" s="19"/>
      <c r="J131" s="18"/>
      <c r="K131" s="18"/>
      <c r="L131" s="20"/>
      <c r="M131" s="11">
        <v>0.5</v>
      </c>
      <c r="N131" s="11">
        <v>531</v>
      </c>
      <c r="O131" s="9">
        <f t="shared" si="40"/>
        <v>1062</v>
      </c>
      <c r="P131" s="11">
        <v>159300</v>
      </c>
      <c r="Q131" s="11">
        <v>102604</v>
      </c>
      <c r="R131" s="21">
        <f t="shared" ref="R131:R178" si="42">O131/810</f>
        <v>1.3111111111111111</v>
      </c>
      <c r="S131" s="14"/>
      <c r="T131" s="14"/>
      <c r="U131" s="15"/>
      <c r="V131" s="14"/>
      <c r="W131" s="14"/>
      <c r="X131" s="15"/>
      <c r="Y131" s="24">
        <f t="shared" ref="Y131:Y188" si="43">AVERAGE(L131,R131,X131)</f>
        <v>1.3111111111111111</v>
      </c>
    </row>
    <row r="132" spans="1:25" ht="16" x14ac:dyDescent="0.2">
      <c r="A132" s="8">
        <v>140</v>
      </c>
      <c r="B132" s="3" t="s">
        <v>129</v>
      </c>
      <c r="C132" s="8">
        <v>0</v>
      </c>
      <c r="D132" s="8">
        <v>1</v>
      </c>
      <c r="E132" s="8">
        <v>1</v>
      </c>
      <c r="F132" s="7">
        <f t="shared" si="41"/>
        <v>2</v>
      </c>
      <c r="G132" s="18"/>
      <c r="H132" s="18"/>
      <c r="I132" s="19"/>
      <c r="J132" s="18"/>
      <c r="K132" s="18"/>
      <c r="L132" s="20"/>
      <c r="M132" s="11">
        <v>1</v>
      </c>
      <c r="N132" s="11">
        <v>436</v>
      </c>
      <c r="O132" s="9">
        <f t="shared" si="40"/>
        <v>436</v>
      </c>
      <c r="P132" s="11">
        <v>130800</v>
      </c>
      <c r="Q132" s="11">
        <v>113819</v>
      </c>
      <c r="R132" s="21">
        <f t="shared" si="42"/>
        <v>0.53827160493827164</v>
      </c>
      <c r="S132" s="14">
        <v>1</v>
      </c>
      <c r="T132" s="14">
        <v>840</v>
      </c>
      <c r="U132" s="15">
        <f>T132/S132</f>
        <v>840</v>
      </c>
      <c r="V132" s="14">
        <f>T132*300</f>
        <v>252000</v>
      </c>
      <c r="W132" s="14">
        <v>121531</v>
      </c>
      <c r="X132" s="15">
        <f t="shared" ref="X132:X188" si="44">U132/811</f>
        <v>1.0357583230579532</v>
      </c>
      <c r="Y132" s="24">
        <f t="shared" si="43"/>
        <v>0.78701496399811244</v>
      </c>
    </row>
    <row r="133" spans="1:25" ht="16" x14ac:dyDescent="0.2">
      <c r="A133" s="8">
        <v>141</v>
      </c>
      <c r="B133" s="3" t="s">
        <v>154</v>
      </c>
      <c r="C133" s="8">
        <v>0</v>
      </c>
      <c r="D133" s="8">
        <v>1</v>
      </c>
      <c r="E133" s="8">
        <v>0</v>
      </c>
      <c r="F133" s="7">
        <f t="shared" si="41"/>
        <v>1</v>
      </c>
      <c r="G133" s="18"/>
      <c r="H133" s="18"/>
      <c r="I133" s="19"/>
      <c r="J133" s="18"/>
      <c r="K133" s="18"/>
      <c r="L133" s="20"/>
      <c r="M133" s="11">
        <v>1.5</v>
      </c>
      <c r="N133" s="11">
        <v>764</v>
      </c>
      <c r="O133" s="9">
        <f t="shared" si="40"/>
        <v>509.33333333333331</v>
      </c>
      <c r="P133" s="11">
        <v>229200</v>
      </c>
      <c r="Q133" s="11">
        <v>163303</v>
      </c>
      <c r="R133" s="21">
        <f t="shared" si="42"/>
        <v>0.62880658436213988</v>
      </c>
      <c r="S133" s="14"/>
      <c r="T133" s="14"/>
      <c r="U133" s="15"/>
      <c r="V133" s="14"/>
      <c r="W133" s="14"/>
      <c r="X133" s="15"/>
      <c r="Y133" s="24">
        <f t="shared" si="43"/>
        <v>0.62880658436213988</v>
      </c>
    </row>
    <row r="134" spans="1:25" ht="16" x14ac:dyDescent="0.2">
      <c r="A134" s="8">
        <v>142</v>
      </c>
      <c r="B134" s="3" t="s">
        <v>130</v>
      </c>
      <c r="C134" s="8">
        <v>0</v>
      </c>
      <c r="D134" s="8">
        <v>1</v>
      </c>
      <c r="E134" s="8">
        <v>1</v>
      </c>
      <c r="F134" s="7">
        <f t="shared" si="41"/>
        <v>2</v>
      </c>
      <c r="G134" s="18"/>
      <c r="H134" s="18"/>
      <c r="I134" s="19"/>
      <c r="J134" s="18"/>
      <c r="K134" s="18"/>
      <c r="L134" s="20"/>
      <c r="M134" s="11">
        <v>1</v>
      </c>
      <c r="N134" s="11">
        <v>482</v>
      </c>
      <c r="O134" s="9">
        <f t="shared" si="40"/>
        <v>482</v>
      </c>
      <c r="P134" s="11">
        <v>144600</v>
      </c>
      <c r="Q134" s="11">
        <v>124457</v>
      </c>
      <c r="R134" s="21">
        <f t="shared" si="42"/>
        <v>0.59506172839506177</v>
      </c>
      <c r="S134" s="14">
        <v>1.5</v>
      </c>
      <c r="T134" s="14">
        <v>1053</v>
      </c>
      <c r="U134" s="15">
        <f>T134/S134</f>
        <v>702</v>
      </c>
      <c r="V134" s="14">
        <f>T134*300</f>
        <v>315900</v>
      </c>
      <c r="W134" s="14">
        <v>133170</v>
      </c>
      <c r="X134" s="15">
        <f t="shared" si="44"/>
        <v>0.86559802712700373</v>
      </c>
      <c r="Y134" s="24">
        <f t="shared" si="43"/>
        <v>0.73032987776103275</v>
      </c>
    </row>
    <row r="135" spans="1:25" ht="16" x14ac:dyDescent="0.2">
      <c r="A135" s="8">
        <v>143</v>
      </c>
      <c r="B135" s="3" t="s">
        <v>155</v>
      </c>
      <c r="C135" s="8">
        <v>0</v>
      </c>
      <c r="D135" s="8">
        <v>1</v>
      </c>
      <c r="E135" s="8">
        <v>0</v>
      </c>
      <c r="F135" s="7">
        <f t="shared" si="41"/>
        <v>1</v>
      </c>
      <c r="G135" s="18"/>
      <c r="H135" s="18"/>
      <c r="I135" s="19"/>
      <c r="J135" s="18"/>
      <c r="K135" s="18"/>
      <c r="L135" s="20"/>
      <c r="M135" s="11">
        <v>1.5</v>
      </c>
      <c r="N135" s="11">
        <v>1247</v>
      </c>
      <c r="O135" s="9">
        <f t="shared" si="40"/>
        <v>831.33333333333337</v>
      </c>
      <c r="P135" s="11">
        <v>374100</v>
      </c>
      <c r="Q135" s="11">
        <v>154241</v>
      </c>
      <c r="R135" s="21">
        <f t="shared" si="42"/>
        <v>1.0263374485596708</v>
      </c>
      <c r="S135" s="14"/>
      <c r="T135" s="14"/>
      <c r="U135" s="15"/>
      <c r="V135" s="14"/>
      <c r="W135" s="14"/>
      <c r="X135" s="15"/>
      <c r="Y135" s="24">
        <f t="shared" si="43"/>
        <v>1.0263374485596708</v>
      </c>
    </row>
    <row r="136" spans="1:25" ht="16" x14ac:dyDescent="0.2">
      <c r="A136" s="8">
        <v>144</v>
      </c>
      <c r="B136" s="3" t="s">
        <v>156</v>
      </c>
      <c r="C136" s="8">
        <v>0</v>
      </c>
      <c r="D136" s="8">
        <v>1</v>
      </c>
      <c r="E136" s="8">
        <v>0</v>
      </c>
      <c r="F136" s="7">
        <f t="shared" si="41"/>
        <v>1</v>
      </c>
      <c r="G136" s="18"/>
      <c r="H136" s="18"/>
      <c r="I136" s="19"/>
      <c r="J136" s="18"/>
      <c r="K136" s="18"/>
      <c r="L136" s="20"/>
      <c r="M136" s="11">
        <v>0.5</v>
      </c>
      <c r="N136" s="11">
        <v>471</v>
      </c>
      <c r="O136" s="9">
        <f t="shared" si="40"/>
        <v>942</v>
      </c>
      <c r="P136" s="11">
        <v>141300</v>
      </c>
      <c r="Q136" s="11">
        <v>151924</v>
      </c>
      <c r="R136" s="21">
        <f t="shared" si="42"/>
        <v>1.162962962962963</v>
      </c>
      <c r="S136" s="14"/>
      <c r="T136" s="14"/>
      <c r="U136" s="15"/>
      <c r="V136" s="14"/>
      <c r="W136" s="14"/>
      <c r="X136" s="15"/>
      <c r="Y136" s="24">
        <f t="shared" si="43"/>
        <v>1.162962962962963</v>
      </c>
    </row>
    <row r="137" spans="1:25" ht="16" x14ac:dyDescent="0.2">
      <c r="A137" s="8">
        <v>145</v>
      </c>
      <c r="B137" s="3" t="s">
        <v>157</v>
      </c>
      <c r="C137" s="8">
        <v>0</v>
      </c>
      <c r="D137" s="8">
        <v>1</v>
      </c>
      <c r="E137" s="8">
        <v>0</v>
      </c>
      <c r="F137" s="7">
        <f t="shared" si="41"/>
        <v>1</v>
      </c>
      <c r="G137" s="18"/>
      <c r="H137" s="18"/>
      <c r="I137" s="19"/>
      <c r="J137" s="18"/>
      <c r="K137" s="18"/>
      <c r="L137" s="20"/>
      <c r="M137" s="11">
        <v>8</v>
      </c>
      <c r="N137" s="11">
        <v>7980</v>
      </c>
      <c r="O137" s="9">
        <f t="shared" si="40"/>
        <v>997.5</v>
      </c>
      <c r="P137" s="11">
        <v>2394000</v>
      </c>
      <c r="Q137" s="11">
        <v>950951</v>
      </c>
      <c r="R137" s="21">
        <f t="shared" si="42"/>
        <v>1.2314814814814814</v>
      </c>
      <c r="S137" s="14"/>
      <c r="T137" s="14"/>
      <c r="U137" s="15"/>
      <c r="V137" s="14"/>
      <c r="W137" s="14"/>
      <c r="X137" s="15"/>
      <c r="Y137" s="24">
        <f t="shared" si="43"/>
        <v>1.2314814814814814</v>
      </c>
    </row>
    <row r="138" spans="1:25" ht="16" x14ac:dyDescent="0.2">
      <c r="A138" s="8">
        <v>146</v>
      </c>
      <c r="B138" s="3" t="s">
        <v>158</v>
      </c>
      <c r="C138" s="8">
        <v>0</v>
      </c>
      <c r="D138" s="8">
        <v>1</v>
      </c>
      <c r="E138" s="8">
        <v>0</v>
      </c>
      <c r="F138" s="7">
        <f t="shared" si="41"/>
        <v>1</v>
      </c>
      <c r="G138" s="18"/>
      <c r="H138" s="18"/>
      <c r="I138" s="19"/>
      <c r="J138" s="18"/>
      <c r="K138" s="18"/>
      <c r="L138" s="20"/>
      <c r="M138" s="11">
        <v>0.5</v>
      </c>
      <c r="N138" s="11">
        <v>324</v>
      </c>
      <c r="O138" s="9">
        <f t="shared" si="40"/>
        <v>648</v>
      </c>
      <c r="P138" s="11">
        <v>97200</v>
      </c>
      <c r="Q138" s="11">
        <v>81983</v>
      </c>
      <c r="R138" s="21">
        <f t="shared" si="42"/>
        <v>0.8</v>
      </c>
      <c r="S138" s="14"/>
      <c r="T138" s="14"/>
      <c r="U138" s="15"/>
      <c r="V138" s="14"/>
      <c r="W138" s="14"/>
      <c r="X138" s="15"/>
      <c r="Y138" s="24">
        <f t="shared" si="43"/>
        <v>0.8</v>
      </c>
    </row>
    <row r="139" spans="1:25" ht="16" x14ac:dyDescent="0.2">
      <c r="A139" s="8">
        <v>147</v>
      </c>
      <c r="B139" s="3" t="s">
        <v>159</v>
      </c>
      <c r="C139" s="8">
        <v>0</v>
      </c>
      <c r="D139" s="8">
        <v>1</v>
      </c>
      <c r="E139" s="8">
        <v>0</v>
      </c>
      <c r="F139" s="7">
        <f t="shared" si="41"/>
        <v>1</v>
      </c>
      <c r="G139" s="18"/>
      <c r="H139" s="18"/>
      <c r="I139" s="19"/>
      <c r="J139" s="18"/>
      <c r="K139" s="18"/>
      <c r="L139" s="20"/>
      <c r="M139" s="11">
        <v>2</v>
      </c>
      <c r="N139" s="11">
        <v>1303</v>
      </c>
      <c r="O139" s="9">
        <f t="shared" si="40"/>
        <v>651.5</v>
      </c>
      <c r="P139" s="11">
        <v>390900</v>
      </c>
      <c r="Q139" s="11">
        <v>175920</v>
      </c>
      <c r="R139" s="21">
        <f t="shared" si="42"/>
        <v>0.80432098765432103</v>
      </c>
      <c r="S139" s="14"/>
      <c r="T139" s="14"/>
      <c r="U139" s="15"/>
      <c r="V139" s="14"/>
      <c r="W139" s="14"/>
      <c r="X139" s="15"/>
      <c r="Y139" s="24">
        <f t="shared" si="43"/>
        <v>0.80432098765432103</v>
      </c>
    </row>
    <row r="140" spans="1:25" ht="16" x14ac:dyDescent="0.2">
      <c r="A140" s="8">
        <v>148</v>
      </c>
      <c r="B140" s="3" t="s">
        <v>131</v>
      </c>
      <c r="C140" s="8">
        <v>0</v>
      </c>
      <c r="D140" s="8">
        <v>1</v>
      </c>
      <c r="E140" s="8">
        <v>1</v>
      </c>
      <c r="F140" s="7">
        <f t="shared" si="41"/>
        <v>2</v>
      </c>
      <c r="G140" s="18"/>
      <c r="H140" s="18"/>
      <c r="I140" s="19"/>
      <c r="J140" s="18"/>
      <c r="K140" s="18"/>
      <c r="L140" s="20"/>
      <c r="M140" s="11">
        <v>1</v>
      </c>
      <c r="N140" s="11">
        <v>907</v>
      </c>
      <c r="O140" s="9">
        <f t="shared" si="40"/>
        <v>907</v>
      </c>
      <c r="P140" s="11">
        <v>272100</v>
      </c>
      <c r="Q140" s="11">
        <v>108221</v>
      </c>
      <c r="R140" s="21">
        <f t="shared" si="42"/>
        <v>1.1197530864197531</v>
      </c>
      <c r="S140" s="14">
        <v>1</v>
      </c>
      <c r="T140" s="14">
        <v>1043</v>
      </c>
      <c r="U140" s="15">
        <f>T140/S140</f>
        <v>1043</v>
      </c>
      <c r="V140" s="14">
        <f>T140*300</f>
        <v>312900</v>
      </c>
      <c r="W140" s="14">
        <v>147140</v>
      </c>
      <c r="X140" s="15">
        <f t="shared" si="44"/>
        <v>1.2860665844636252</v>
      </c>
      <c r="Y140" s="24">
        <f t="shared" si="43"/>
        <v>1.2029098354416892</v>
      </c>
    </row>
    <row r="141" spans="1:25" ht="16" x14ac:dyDescent="0.2">
      <c r="A141" s="8">
        <v>149</v>
      </c>
      <c r="B141" s="3" t="s">
        <v>160</v>
      </c>
      <c r="C141" s="8">
        <v>0</v>
      </c>
      <c r="D141" s="8">
        <v>1</v>
      </c>
      <c r="E141" s="8">
        <v>0</v>
      </c>
      <c r="F141" s="7">
        <f t="shared" si="41"/>
        <v>1</v>
      </c>
      <c r="G141" s="18"/>
      <c r="H141" s="18"/>
      <c r="I141" s="19"/>
      <c r="J141" s="18"/>
      <c r="K141" s="18"/>
      <c r="L141" s="20"/>
      <c r="M141" s="11">
        <v>0.5</v>
      </c>
      <c r="N141" s="11">
        <v>353</v>
      </c>
      <c r="O141" s="9">
        <f t="shared" si="40"/>
        <v>706</v>
      </c>
      <c r="P141" s="11">
        <v>105900</v>
      </c>
      <c r="Q141" s="11">
        <v>95570</v>
      </c>
      <c r="R141" s="21">
        <f t="shared" si="42"/>
        <v>0.8716049382716049</v>
      </c>
      <c r="S141" s="14"/>
      <c r="T141" s="14"/>
      <c r="U141" s="15"/>
      <c r="V141" s="14"/>
      <c r="W141" s="14"/>
      <c r="X141" s="15"/>
      <c r="Y141" s="24">
        <f t="shared" si="43"/>
        <v>0.8716049382716049</v>
      </c>
    </row>
    <row r="142" spans="1:25" ht="16" x14ac:dyDescent="0.2">
      <c r="A142" s="8">
        <v>150</v>
      </c>
      <c r="B142" s="3" t="s">
        <v>161</v>
      </c>
      <c r="C142" s="8">
        <v>0</v>
      </c>
      <c r="D142" s="8">
        <v>1</v>
      </c>
      <c r="E142" s="8">
        <v>0</v>
      </c>
      <c r="F142" s="7">
        <f t="shared" si="41"/>
        <v>1</v>
      </c>
      <c r="G142" s="18"/>
      <c r="H142" s="18"/>
      <c r="I142" s="19"/>
      <c r="J142" s="18"/>
      <c r="K142" s="18"/>
      <c r="L142" s="20"/>
      <c r="M142" s="11">
        <v>0.5</v>
      </c>
      <c r="N142" s="11">
        <v>197</v>
      </c>
      <c r="O142" s="9">
        <f t="shared" si="40"/>
        <v>394</v>
      </c>
      <c r="P142" s="11">
        <v>59100</v>
      </c>
      <c r="Q142" s="11">
        <v>114102</v>
      </c>
      <c r="R142" s="21">
        <f t="shared" si="42"/>
        <v>0.48641975308641977</v>
      </c>
      <c r="S142" s="14"/>
      <c r="T142" s="14"/>
      <c r="U142" s="15"/>
      <c r="V142" s="14"/>
      <c r="W142" s="14"/>
      <c r="X142" s="15"/>
      <c r="Y142" s="24">
        <f t="shared" si="43"/>
        <v>0.48641975308641977</v>
      </c>
    </row>
    <row r="143" spans="1:25" ht="16" x14ac:dyDescent="0.2">
      <c r="A143" s="8">
        <v>151</v>
      </c>
      <c r="B143" s="3" t="s">
        <v>162</v>
      </c>
      <c r="C143" s="8">
        <v>0</v>
      </c>
      <c r="D143" s="8">
        <v>1</v>
      </c>
      <c r="E143" s="8">
        <v>0</v>
      </c>
      <c r="F143" s="7">
        <f t="shared" si="41"/>
        <v>1</v>
      </c>
      <c r="G143" s="18"/>
      <c r="H143" s="18"/>
      <c r="I143" s="19"/>
      <c r="J143" s="18"/>
      <c r="K143" s="18"/>
      <c r="L143" s="20"/>
      <c r="M143" s="11">
        <v>2</v>
      </c>
      <c r="N143" s="11">
        <v>1150</v>
      </c>
      <c r="O143" s="9">
        <f t="shared" si="40"/>
        <v>575</v>
      </c>
      <c r="P143" s="11">
        <v>345000</v>
      </c>
      <c r="Q143" s="11">
        <v>195461</v>
      </c>
      <c r="R143" s="21">
        <f t="shared" si="42"/>
        <v>0.70987654320987659</v>
      </c>
      <c r="S143" s="14"/>
      <c r="T143" s="14"/>
      <c r="U143" s="15"/>
      <c r="V143" s="14"/>
      <c r="W143" s="14"/>
      <c r="X143" s="15"/>
      <c r="Y143" s="24">
        <f t="shared" si="43"/>
        <v>0.70987654320987659</v>
      </c>
    </row>
    <row r="144" spans="1:25" ht="16" x14ac:dyDescent="0.2">
      <c r="A144" s="8">
        <v>152</v>
      </c>
      <c r="B144" s="3" t="s">
        <v>163</v>
      </c>
      <c r="C144" s="8">
        <v>0</v>
      </c>
      <c r="D144" s="8">
        <v>1</v>
      </c>
      <c r="E144" s="8">
        <v>0</v>
      </c>
      <c r="F144" s="7">
        <f t="shared" si="41"/>
        <v>1</v>
      </c>
      <c r="G144" s="18"/>
      <c r="H144" s="18"/>
      <c r="I144" s="19"/>
      <c r="J144" s="18"/>
      <c r="K144" s="18"/>
      <c r="L144" s="20"/>
      <c r="M144" s="11">
        <v>1.25</v>
      </c>
      <c r="N144" s="11">
        <v>700</v>
      </c>
      <c r="O144" s="9">
        <f t="shared" ref="O144:O175" si="45">N144/M144</f>
        <v>560</v>
      </c>
      <c r="P144" s="11">
        <v>210000</v>
      </c>
      <c r="Q144" s="11">
        <v>178611</v>
      </c>
      <c r="R144" s="21">
        <f t="shared" si="42"/>
        <v>0.69135802469135799</v>
      </c>
      <c r="S144" s="14"/>
      <c r="T144" s="14"/>
      <c r="U144" s="15"/>
      <c r="V144" s="14"/>
      <c r="W144" s="14"/>
      <c r="X144" s="15"/>
      <c r="Y144" s="24">
        <f t="shared" si="43"/>
        <v>0.69135802469135799</v>
      </c>
    </row>
    <row r="145" spans="1:25" ht="16" x14ac:dyDescent="0.2">
      <c r="A145" s="8">
        <v>153</v>
      </c>
      <c r="B145" s="3" t="s">
        <v>40</v>
      </c>
      <c r="C145" s="8">
        <v>0</v>
      </c>
      <c r="D145" s="8">
        <v>1</v>
      </c>
      <c r="E145" s="8">
        <v>0</v>
      </c>
      <c r="F145" s="7">
        <f t="shared" si="41"/>
        <v>1</v>
      </c>
      <c r="G145" s="18"/>
      <c r="H145" s="18"/>
      <c r="I145" s="19"/>
      <c r="J145" s="18"/>
      <c r="K145" s="18"/>
      <c r="L145" s="20"/>
      <c r="M145" s="11">
        <v>1</v>
      </c>
      <c r="N145" s="11">
        <v>979</v>
      </c>
      <c r="O145" s="9">
        <f t="shared" si="45"/>
        <v>979</v>
      </c>
      <c r="P145" s="11">
        <v>293700</v>
      </c>
      <c r="Q145" s="11">
        <v>136448</v>
      </c>
      <c r="R145" s="21">
        <f t="shared" si="42"/>
        <v>1.2086419753086419</v>
      </c>
      <c r="S145" s="14"/>
      <c r="T145" s="14"/>
      <c r="U145" s="15"/>
      <c r="V145" s="14"/>
      <c r="W145" s="14"/>
      <c r="X145" s="15"/>
      <c r="Y145" s="24">
        <f t="shared" si="43"/>
        <v>1.2086419753086419</v>
      </c>
    </row>
    <row r="146" spans="1:25" ht="16" x14ac:dyDescent="0.2">
      <c r="A146" s="8">
        <v>154</v>
      </c>
      <c r="B146" s="3" t="s">
        <v>164</v>
      </c>
      <c r="C146" s="8">
        <v>0</v>
      </c>
      <c r="D146" s="8">
        <v>1</v>
      </c>
      <c r="E146" s="8">
        <v>0</v>
      </c>
      <c r="F146" s="7">
        <f t="shared" si="41"/>
        <v>1</v>
      </c>
      <c r="G146" s="18"/>
      <c r="H146" s="18"/>
      <c r="I146" s="19"/>
      <c r="J146" s="18"/>
      <c r="K146" s="18"/>
      <c r="L146" s="20"/>
      <c r="M146" s="11">
        <v>3</v>
      </c>
      <c r="N146" s="11">
        <v>2151</v>
      </c>
      <c r="O146" s="9">
        <f t="shared" si="45"/>
        <v>717</v>
      </c>
      <c r="P146" s="11">
        <v>645300</v>
      </c>
      <c r="Q146" s="11">
        <v>287475</v>
      </c>
      <c r="R146" s="21">
        <f t="shared" si="42"/>
        <v>0.88518518518518519</v>
      </c>
      <c r="S146" s="14"/>
      <c r="T146" s="14"/>
      <c r="U146" s="15"/>
      <c r="V146" s="14"/>
      <c r="W146" s="14"/>
      <c r="X146" s="15"/>
      <c r="Y146" s="24">
        <f t="shared" si="43"/>
        <v>0.88518518518518519</v>
      </c>
    </row>
    <row r="147" spans="1:25" ht="16" x14ac:dyDescent="0.2">
      <c r="A147" s="8">
        <v>155</v>
      </c>
      <c r="B147" s="3" t="s">
        <v>132</v>
      </c>
      <c r="C147" s="8">
        <v>0</v>
      </c>
      <c r="D147" s="8">
        <v>1</v>
      </c>
      <c r="E147" s="8">
        <v>1</v>
      </c>
      <c r="F147" s="7">
        <f t="shared" si="41"/>
        <v>2</v>
      </c>
      <c r="G147" s="18"/>
      <c r="H147" s="18"/>
      <c r="I147" s="19"/>
      <c r="J147" s="18"/>
      <c r="K147" s="18"/>
      <c r="L147" s="20"/>
      <c r="M147" s="11">
        <v>3</v>
      </c>
      <c r="N147" s="11">
        <v>2138</v>
      </c>
      <c r="O147" s="9">
        <f t="shared" si="45"/>
        <v>712.66666666666663</v>
      </c>
      <c r="P147" s="11">
        <v>641400</v>
      </c>
      <c r="Q147" s="11">
        <v>385925</v>
      </c>
      <c r="R147" s="21">
        <f t="shared" si="42"/>
        <v>0.87983539094650198</v>
      </c>
      <c r="S147" s="14">
        <v>1.5</v>
      </c>
      <c r="T147" s="14">
        <v>1385</v>
      </c>
      <c r="U147" s="15">
        <f>T147/S147</f>
        <v>923.33333333333337</v>
      </c>
      <c r="V147" s="14">
        <f>T147*300</f>
        <v>415500</v>
      </c>
      <c r="W147" s="14">
        <v>239166</v>
      </c>
      <c r="X147" s="15">
        <f t="shared" si="44"/>
        <v>1.1385121249486232</v>
      </c>
      <c r="Y147" s="24">
        <f t="shared" si="43"/>
        <v>1.0091737579475626</v>
      </c>
    </row>
    <row r="148" spans="1:25" ht="16" x14ac:dyDescent="0.2">
      <c r="A148" s="8">
        <v>156</v>
      </c>
      <c r="B148" s="3" t="s">
        <v>165</v>
      </c>
      <c r="C148" s="8">
        <v>0</v>
      </c>
      <c r="D148" s="8">
        <v>1</v>
      </c>
      <c r="E148" s="8">
        <v>0</v>
      </c>
      <c r="F148" s="7">
        <f t="shared" si="41"/>
        <v>1</v>
      </c>
      <c r="G148" s="18"/>
      <c r="H148" s="18"/>
      <c r="I148" s="19"/>
      <c r="J148" s="18"/>
      <c r="K148" s="18"/>
      <c r="L148" s="20"/>
      <c r="M148" s="11">
        <v>1</v>
      </c>
      <c r="N148" s="11">
        <v>572</v>
      </c>
      <c r="O148" s="9">
        <f t="shared" si="45"/>
        <v>572</v>
      </c>
      <c r="P148" s="11">
        <v>171600</v>
      </c>
      <c r="Q148" s="11">
        <v>131227</v>
      </c>
      <c r="R148" s="21">
        <f t="shared" si="42"/>
        <v>0.70617283950617282</v>
      </c>
      <c r="S148" s="14"/>
      <c r="T148" s="14"/>
      <c r="U148" s="15"/>
      <c r="V148" s="14"/>
      <c r="W148" s="14"/>
      <c r="X148" s="15"/>
      <c r="Y148" s="24">
        <f t="shared" si="43"/>
        <v>0.70617283950617282</v>
      </c>
    </row>
    <row r="149" spans="1:25" ht="16" x14ac:dyDescent="0.2">
      <c r="A149" s="8">
        <v>157</v>
      </c>
      <c r="B149" s="3" t="s">
        <v>166</v>
      </c>
      <c r="C149" s="8">
        <v>0</v>
      </c>
      <c r="D149" s="8">
        <v>1</v>
      </c>
      <c r="E149" s="8">
        <v>0</v>
      </c>
      <c r="F149" s="7">
        <f t="shared" si="41"/>
        <v>1</v>
      </c>
      <c r="G149" s="18"/>
      <c r="H149" s="18"/>
      <c r="I149" s="19"/>
      <c r="J149" s="18"/>
      <c r="K149" s="18"/>
      <c r="L149" s="20"/>
      <c r="M149" s="11">
        <v>1.25</v>
      </c>
      <c r="N149" s="11">
        <v>485</v>
      </c>
      <c r="O149" s="9">
        <f t="shared" si="45"/>
        <v>388</v>
      </c>
      <c r="P149" s="11">
        <v>145500</v>
      </c>
      <c r="Q149" s="11">
        <v>233977</v>
      </c>
      <c r="R149" s="21">
        <f t="shared" si="42"/>
        <v>0.47901234567901235</v>
      </c>
      <c r="S149" s="14"/>
      <c r="T149" s="14"/>
      <c r="U149" s="15"/>
      <c r="V149" s="14"/>
      <c r="W149" s="14"/>
      <c r="X149" s="15"/>
      <c r="Y149" s="24">
        <f t="shared" si="43"/>
        <v>0.47901234567901235</v>
      </c>
    </row>
    <row r="150" spans="1:25" ht="16" x14ac:dyDescent="0.2">
      <c r="A150" s="8">
        <v>158</v>
      </c>
      <c r="B150" s="3" t="s">
        <v>167</v>
      </c>
      <c r="C150" s="8">
        <v>0</v>
      </c>
      <c r="D150" s="8">
        <v>1</v>
      </c>
      <c r="E150" s="8">
        <v>0</v>
      </c>
      <c r="F150" s="7">
        <f t="shared" si="41"/>
        <v>1</v>
      </c>
      <c r="G150" s="18"/>
      <c r="H150" s="18"/>
      <c r="I150" s="19"/>
      <c r="J150" s="18"/>
      <c r="K150" s="18"/>
      <c r="L150" s="20"/>
      <c r="M150" s="11">
        <v>3</v>
      </c>
      <c r="N150" s="11">
        <v>2880</v>
      </c>
      <c r="O150" s="9">
        <f t="shared" si="45"/>
        <v>960</v>
      </c>
      <c r="P150" s="11">
        <v>864000</v>
      </c>
      <c r="Q150" s="11">
        <v>478662</v>
      </c>
      <c r="R150" s="21">
        <f t="shared" si="42"/>
        <v>1.1851851851851851</v>
      </c>
      <c r="S150" s="14"/>
      <c r="T150" s="14"/>
      <c r="U150" s="15"/>
      <c r="V150" s="14"/>
      <c r="W150" s="14"/>
      <c r="X150" s="15"/>
      <c r="Y150" s="24">
        <f t="shared" si="43"/>
        <v>1.1851851851851851</v>
      </c>
    </row>
    <row r="151" spans="1:25" ht="16" x14ac:dyDescent="0.2">
      <c r="A151" s="8">
        <v>159</v>
      </c>
      <c r="B151" s="3" t="s">
        <v>133</v>
      </c>
      <c r="C151" s="8">
        <v>0</v>
      </c>
      <c r="D151" s="8">
        <v>1</v>
      </c>
      <c r="E151" s="8">
        <v>1</v>
      </c>
      <c r="F151" s="7">
        <f t="shared" si="41"/>
        <v>2</v>
      </c>
      <c r="G151" s="18"/>
      <c r="H151" s="18"/>
      <c r="I151" s="19"/>
      <c r="J151" s="18"/>
      <c r="K151" s="18"/>
      <c r="L151" s="20"/>
      <c r="M151" s="11">
        <v>2</v>
      </c>
      <c r="N151" s="11">
        <v>1422</v>
      </c>
      <c r="O151" s="9">
        <f t="shared" si="45"/>
        <v>711</v>
      </c>
      <c r="P151" s="11">
        <v>426600</v>
      </c>
      <c r="Q151" s="11">
        <v>197277</v>
      </c>
      <c r="R151" s="21">
        <f t="shared" si="42"/>
        <v>0.87777777777777777</v>
      </c>
      <c r="S151" s="14">
        <v>2</v>
      </c>
      <c r="T151" s="14">
        <v>867</v>
      </c>
      <c r="U151" s="15">
        <f>T151/S151</f>
        <v>433.5</v>
      </c>
      <c r="V151" s="14">
        <f>T151*300</f>
        <v>260100</v>
      </c>
      <c r="W151" s="14">
        <v>199601</v>
      </c>
      <c r="X151" s="15">
        <f t="shared" si="44"/>
        <v>0.53452527743526512</v>
      </c>
      <c r="Y151" s="24">
        <f t="shared" si="43"/>
        <v>0.70615152760652145</v>
      </c>
    </row>
    <row r="152" spans="1:25" ht="16" x14ac:dyDescent="0.2">
      <c r="A152" s="8">
        <v>160</v>
      </c>
      <c r="B152" s="3" t="s">
        <v>168</v>
      </c>
      <c r="C152" s="8">
        <v>0</v>
      </c>
      <c r="D152" s="8">
        <v>1</v>
      </c>
      <c r="E152" s="8">
        <v>0</v>
      </c>
      <c r="F152" s="7">
        <f t="shared" si="41"/>
        <v>1</v>
      </c>
      <c r="G152" s="18"/>
      <c r="H152" s="18"/>
      <c r="I152" s="19"/>
      <c r="J152" s="18"/>
      <c r="K152" s="18"/>
      <c r="L152" s="20"/>
      <c r="M152" s="11">
        <v>1</v>
      </c>
      <c r="N152" s="11">
        <v>541</v>
      </c>
      <c r="O152" s="9">
        <f t="shared" si="45"/>
        <v>541</v>
      </c>
      <c r="P152" s="11">
        <v>162300</v>
      </c>
      <c r="Q152" s="11">
        <v>252134</v>
      </c>
      <c r="R152" s="21">
        <f t="shared" si="42"/>
        <v>0.66790123456790118</v>
      </c>
      <c r="S152" s="14"/>
      <c r="T152" s="14"/>
      <c r="U152" s="15"/>
      <c r="V152" s="14"/>
      <c r="W152" s="14"/>
      <c r="X152" s="15"/>
      <c r="Y152" s="24">
        <f t="shared" si="43"/>
        <v>0.66790123456790118</v>
      </c>
    </row>
    <row r="153" spans="1:25" ht="16" x14ac:dyDescent="0.2">
      <c r="A153" s="8">
        <v>161</v>
      </c>
      <c r="B153" s="3" t="s">
        <v>134</v>
      </c>
      <c r="C153" s="8">
        <v>0</v>
      </c>
      <c r="D153" s="8">
        <v>1</v>
      </c>
      <c r="E153" s="8">
        <v>1</v>
      </c>
      <c r="F153" s="7">
        <f t="shared" si="41"/>
        <v>2</v>
      </c>
      <c r="G153" s="18"/>
      <c r="H153" s="18"/>
      <c r="I153" s="19"/>
      <c r="J153" s="18"/>
      <c r="K153" s="18"/>
      <c r="L153" s="20"/>
      <c r="M153" s="11">
        <v>0.5</v>
      </c>
      <c r="N153" s="11">
        <v>284</v>
      </c>
      <c r="O153" s="9">
        <f t="shared" si="45"/>
        <v>568</v>
      </c>
      <c r="P153" s="11">
        <v>85200</v>
      </c>
      <c r="Q153" s="11">
        <v>254363</v>
      </c>
      <c r="R153" s="21">
        <f t="shared" si="42"/>
        <v>0.70123456790123462</v>
      </c>
      <c r="S153" s="14">
        <v>1</v>
      </c>
      <c r="T153" s="14">
        <v>874</v>
      </c>
      <c r="U153" s="15">
        <f>T153/S153</f>
        <v>874</v>
      </c>
      <c r="V153" s="14">
        <f>T153*300</f>
        <v>262200</v>
      </c>
      <c r="W153" s="14">
        <v>255133</v>
      </c>
      <c r="X153" s="15">
        <f t="shared" si="44"/>
        <v>1.0776818742293466</v>
      </c>
      <c r="Y153" s="24">
        <f t="shared" si="43"/>
        <v>0.8894582210652906</v>
      </c>
    </row>
    <row r="154" spans="1:25" ht="16" x14ac:dyDescent="0.2">
      <c r="A154" s="8">
        <v>162</v>
      </c>
      <c r="B154" s="3" t="s">
        <v>169</v>
      </c>
      <c r="C154" s="8">
        <v>0</v>
      </c>
      <c r="D154" s="8">
        <v>1</v>
      </c>
      <c r="E154" s="8">
        <v>0</v>
      </c>
      <c r="F154" s="7">
        <f t="shared" si="41"/>
        <v>1</v>
      </c>
      <c r="G154" s="18"/>
      <c r="H154" s="18"/>
      <c r="I154" s="19"/>
      <c r="J154" s="18"/>
      <c r="K154" s="18"/>
      <c r="L154" s="20"/>
      <c r="M154" s="11">
        <v>1</v>
      </c>
      <c r="N154" s="11">
        <v>1386</v>
      </c>
      <c r="O154" s="9">
        <f t="shared" si="45"/>
        <v>1386</v>
      </c>
      <c r="P154" s="11">
        <v>415800</v>
      </c>
      <c r="Q154" s="11">
        <v>210169</v>
      </c>
      <c r="R154" s="21">
        <f t="shared" si="42"/>
        <v>1.711111111111111</v>
      </c>
      <c r="S154" s="14"/>
      <c r="T154" s="14"/>
      <c r="U154" s="15"/>
      <c r="V154" s="14"/>
      <c r="W154" s="14"/>
      <c r="X154" s="15"/>
      <c r="Y154" s="24">
        <f t="shared" si="43"/>
        <v>1.711111111111111</v>
      </c>
    </row>
    <row r="155" spans="1:25" ht="16" x14ac:dyDescent="0.2">
      <c r="A155" s="8">
        <v>163</v>
      </c>
      <c r="B155" s="3" t="s">
        <v>170</v>
      </c>
      <c r="C155" s="8">
        <v>0</v>
      </c>
      <c r="D155" s="8">
        <v>1</v>
      </c>
      <c r="E155" s="8">
        <v>0</v>
      </c>
      <c r="F155" s="7">
        <f t="shared" si="41"/>
        <v>1</v>
      </c>
      <c r="G155" s="18"/>
      <c r="H155" s="18"/>
      <c r="I155" s="19"/>
      <c r="J155" s="18"/>
      <c r="K155" s="18"/>
      <c r="L155" s="20"/>
      <c r="M155" s="11">
        <v>1</v>
      </c>
      <c r="N155" s="11">
        <v>919</v>
      </c>
      <c r="O155" s="9">
        <f t="shared" si="45"/>
        <v>919</v>
      </c>
      <c r="P155" s="11">
        <v>275700</v>
      </c>
      <c r="Q155" s="11">
        <v>186268</v>
      </c>
      <c r="R155" s="21">
        <f t="shared" si="42"/>
        <v>1.134567901234568</v>
      </c>
      <c r="S155" s="14"/>
      <c r="T155" s="14"/>
      <c r="U155" s="15"/>
      <c r="V155" s="14"/>
      <c r="W155" s="14"/>
      <c r="X155" s="15"/>
      <c r="Y155" s="24">
        <f t="shared" si="43"/>
        <v>1.134567901234568</v>
      </c>
    </row>
    <row r="156" spans="1:25" ht="16" x14ac:dyDescent="0.2">
      <c r="A156" s="8">
        <v>164</v>
      </c>
      <c r="B156" s="3" t="s">
        <v>123</v>
      </c>
      <c r="C156" s="8">
        <v>0</v>
      </c>
      <c r="D156" s="8">
        <v>1</v>
      </c>
      <c r="E156" s="8">
        <v>0</v>
      </c>
      <c r="F156" s="7">
        <f t="shared" si="41"/>
        <v>1</v>
      </c>
      <c r="G156" s="18"/>
      <c r="H156" s="18"/>
      <c r="I156" s="19"/>
      <c r="J156" s="18"/>
      <c r="K156" s="18"/>
      <c r="L156" s="20"/>
      <c r="M156" s="11">
        <v>2</v>
      </c>
      <c r="N156" s="11">
        <v>2980</v>
      </c>
      <c r="O156" s="9">
        <f t="shared" si="45"/>
        <v>1490</v>
      </c>
      <c r="P156" s="11">
        <v>894000</v>
      </c>
      <c r="Q156" s="11">
        <v>274462</v>
      </c>
      <c r="R156" s="21">
        <f t="shared" si="42"/>
        <v>1.8395061728395061</v>
      </c>
      <c r="S156" s="14"/>
      <c r="T156" s="14"/>
      <c r="U156" s="15"/>
      <c r="V156" s="14"/>
      <c r="W156" s="14"/>
      <c r="X156" s="15"/>
      <c r="Y156" s="24">
        <f t="shared" si="43"/>
        <v>1.8395061728395061</v>
      </c>
    </row>
    <row r="157" spans="1:25" ht="16" x14ac:dyDescent="0.2">
      <c r="A157" s="8">
        <v>165</v>
      </c>
      <c r="B157" s="3" t="s">
        <v>171</v>
      </c>
      <c r="C157" s="8">
        <v>0</v>
      </c>
      <c r="D157" s="8">
        <v>1</v>
      </c>
      <c r="E157" s="8">
        <v>0</v>
      </c>
      <c r="F157" s="7">
        <f t="shared" si="41"/>
        <v>1</v>
      </c>
      <c r="G157" s="18"/>
      <c r="H157" s="18"/>
      <c r="I157" s="19"/>
      <c r="J157" s="18"/>
      <c r="K157" s="18"/>
      <c r="L157" s="20"/>
      <c r="M157" s="11">
        <v>1</v>
      </c>
      <c r="N157" s="11">
        <v>1189</v>
      </c>
      <c r="O157" s="9">
        <f t="shared" si="45"/>
        <v>1189</v>
      </c>
      <c r="P157" s="11">
        <v>356700</v>
      </c>
      <c r="Q157" s="11">
        <v>165567</v>
      </c>
      <c r="R157" s="21">
        <f t="shared" si="42"/>
        <v>1.4679012345679012</v>
      </c>
      <c r="S157" s="14"/>
      <c r="T157" s="14"/>
      <c r="U157" s="15"/>
      <c r="V157" s="14"/>
      <c r="W157" s="14"/>
      <c r="X157" s="15"/>
      <c r="Y157" s="24">
        <f t="shared" si="43"/>
        <v>1.4679012345679012</v>
      </c>
    </row>
    <row r="158" spans="1:25" ht="16" x14ac:dyDescent="0.2">
      <c r="A158" s="8">
        <v>166</v>
      </c>
      <c r="B158" s="3" t="s">
        <v>135</v>
      </c>
      <c r="C158" s="8">
        <v>0</v>
      </c>
      <c r="D158" s="8">
        <v>1</v>
      </c>
      <c r="E158" s="8">
        <v>1</v>
      </c>
      <c r="F158" s="7">
        <f t="shared" si="41"/>
        <v>2</v>
      </c>
      <c r="G158" s="18"/>
      <c r="H158" s="18"/>
      <c r="I158" s="19"/>
      <c r="J158" s="18"/>
      <c r="K158" s="18"/>
      <c r="L158" s="20"/>
      <c r="M158" s="11">
        <v>0.75</v>
      </c>
      <c r="N158" s="11">
        <v>420</v>
      </c>
      <c r="O158" s="9">
        <f t="shared" si="45"/>
        <v>560</v>
      </c>
      <c r="P158" s="11">
        <v>126000</v>
      </c>
      <c r="Q158" s="11">
        <v>316782</v>
      </c>
      <c r="R158" s="21">
        <f t="shared" si="42"/>
        <v>0.69135802469135799</v>
      </c>
      <c r="S158" s="14">
        <v>1</v>
      </c>
      <c r="T158" s="14">
        <v>897</v>
      </c>
      <c r="U158" s="15">
        <f>T158/S158</f>
        <v>897</v>
      </c>
      <c r="V158" s="14">
        <f>T158*300</f>
        <v>269100</v>
      </c>
      <c r="W158" s="14">
        <v>181702</v>
      </c>
      <c r="X158" s="15">
        <f t="shared" si="44"/>
        <v>1.1060419235511714</v>
      </c>
      <c r="Y158" s="24">
        <f t="shared" si="43"/>
        <v>0.89869997412126468</v>
      </c>
    </row>
    <row r="159" spans="1:25" ht="16" x14ac:dyDescent="0.2">
      <c r="A159" s="8">
        <v>167</v>
      </c>
      <c r="B159" s="3" t="s">
        <v>172</v>
      </c>
      <c r="C159" s="8">
        <v>0</v>
      </c>
      <c r="D159" s="8">
        <v>1</v>
      </c>
      <c r="E159" s="8">
        <v>0</v>
      </c>
      <c r="F159" s="7">
        <f t="shared" si="41"/>
        <v>1</v>
      </c>
      <c r="G159" s="18"/>
      <c r="H159" s="18"/>
      <c r="I159" s="19"/>
      <c r="J159" s="18"/>
      <c r="K159" s="18"/>
      <c r="L159" s="20"/>
      <c r="M159" s="11">
        <v>0.25</v>
      </c>
      <c r="N159" s="11">
        <v>114</v>
      </c>
      <c r="O159" s="9">
        <f t="shared" si="45"/>
        <v>456</v>
      </c>
      <c r="P159" s="11">
        <v>34200</v>
      </c>
      <c r="Q159" s="11">
        <v>3842</v>
      </c>
      <c r="R159" s="21">
        <f t="shared" si="42"/>
        <v>0.562962962962963</v>
      </c>
      <c r="S159" s="14"/>
      <c r="T159" s="14"/>
      <c r="U159" s="15"/>
      <c r="V159" s="14"/>
      <c r="W159" s="14"/>
      <c r="X159" s="15"/>
      <c r="Y159" s="24">
        <f t="shared" si="43"/>
        <v>0.562962962962963</v>
      </c>
    </row>
    <row r="160" spans="1:25" ht="16" x14ac:dyDescent="0.2">
      <c r="A160" s="8">
        <v>168</v>
      </c>
      <c r="B160" s="3" t="s">
        <v>136</v>
      </c>
      <c r="C160" s="8">
        <v>0</v>
      </c>
      <c r="D160" s="8">
        <v>1</v>
      </c>
      <c r="E160" s="8">
        <v>1</v>
      </c>
      <c r="F160" s="7">
        <f t="shared" si="41"/>
        <v>2</v>
      </c>
      <c r="G160" s="18"/>
      <c r="H160" s="18"/>
      <c r="I160" s="19"/>
      <c r="J160" s="18"/>
      <c r="K160" s="18"/>
      <c r="L160" s="20"/>
      <c r="M160" s="11">
        <v>2</v>
      </c>
      <c r="N160" s="11">
        <v>1309</v>
      </c>
      <c r="O160" s="9">
        <f t="shared" si="45"/>
        <v>654.5</v>
      </c>
      <c r="P160" s="11">
        <v>392700</v>
      </c>
      <c r="Q160" s="11">
        <v>156938</v>
      </c>
      <c r="R160" s="21">
        <f t="shared" si="42"/>
        <v>0.80802469135802468</v>
      </c>
      <c r="S160" s="14">
        <v>2</v>
      </c>
      <c r="T160" s="14">
        <v>1018</v>
      </c>
      <c r="U160" s="15">
        <f>T160/S160</f>
        <v>509</v>
      </c>
      <c r="V160" s="14">
        <f>T160*300</f>
        <v>305400</v>
      </c>
      <c r="W160" s="14">
        <v>181565</v>
      </c>
      <c r="X160" s="15">
        <f t="shared" si="44"/>
        <v>0.6276202219482121</v>
      </c>
      <c r="Y160" s="24">
        <f t="shared" si="43"/>
        <v>0.71782245665311839</v>
      </c>
    </row>
    <row r="161" spans="1:25" ht="16" x14ac:dyDescent="0.2">
      <c r="A161" s="8">
        <v>169</v>
      </c>
      <c r="B161" s="3" t="s">
        <v>173</v>
      </c>
      <c r="C161" s="8">
        <v>0</v>
      </c>
      <c r="D161" s="8">
        <v>1</v>
      </c>
      <c r="E161" s="8">
        <v>0</v>
      </c>
      <c r="F161" s="7">
        <f t="shared" si="41"/>
        <v>1</v>
      </c>
      <c r="G161" s="18"/>
      <c r="H161" s="18"/>
      <c r="I161" s="19"/>
      <c r="J161" s="18"/>
      <c r="K161" s="18"/>
      <c r="L161" s="20"/>
      <c r="M161" s="11">
        <v>1</v>
      </c>
      <c r="N161" s="11">
        <v>758</v>
      </c>
      <c r="O161" s="9">
        <f t="shared" si="45"/>
        <v>758</v>
      </c>
      <c r="P161" s="11">
        <v>227400</v>
      </c>
      <c r="Q161" s="11">
        <v>204285</v>
      </c>
      <c r="R161" s="21">
        <f t="shared" si="42"/>
        <v>0.93580246913580245</v>
      </c>
      <c r="S161" s="14"/>
      <c r="T161" s="14"/>
      <c r="U161" s="15"/>
      <c r="V161" s="14"/>
      <c r="W161" s="14"/>
      <c r="X161" s="15"/>
      <c r="Y161" s="24">
        <f t="shared" si="43"/>
        <v>0.93580246913580245</v>
      </c>
    </row>
    <row r="162" spans="1:25" ht="16" x14ac:dyDescent="0.2">
      <c r="A162" s="8">
        <v>170</v>
      </c>
      <c r="B162" s="3" t="s">
        <v>174</v>
      </c>
      <c r="C162" s="8">
        <v>0</v>
      </c>
      <c r="D162" s="8">
        <v>1</v>
      </c>
      <c r="E162" s="8">
        <v>0</v>
      </c>
      <c r="F162" s="7">
        <f t="shared" ref="F162:F188" si="46">C162+D162+E162</f>
        <v>1</v>
      </c>
      <c r="G162" s="18"/>
      <c r="H162" s="18"/>
      <c r="I162" s="19"/>
      <c r="J162" s="18"/>
      <c r="K162" s="18"/>
      <c r="L162" s="20"/>
      <c r="M162" s="11">
        <v>1</v>
      </c>
      <c r="N162" s="11">
        <v>483</v>
      </c>
      <c r="O162" s="9">
        <f t="shared" si="45"/>
        <v>483</v>
      </c>
      <c r="P162" s="11">
        <v>144900</v>
      </c>
      <c r="Q162" s="11">
        <v>130960</v>
      </c>
      <c r="R162" s="21">
        <f t="shared" si="42"/>
        <v>0.59629629629629632</v>
      </c>
      <c r="S162" s="14"/>
      <c r="T162" s="14"/>
      <c r="U162" s="15"/>
      <c r="V162" s="14"/>
      <c r="W162" s="14"/>
      <c r="X162" s="15"/>
      <c r="Y162" s="24">
        <f t="shared" si="43"/>
        <v>0.59629629629629632</v>
      </c>
    </row>
    <row r="163" spans="1:25" ht="16" x14ac:dyDescent="0.2">
      <c r="A163" s="8">
        <v>171</v>
      </c>
      <c r="B163" s="3" t="s">
        <v>175</v>
      </c>
      <c r="C163" s="8">
        <v>0</v>
      </c>
      <c r="D163" s="8">
        <v>1</v>
      </c>
      <c r="E163" s="8">
        <v>0</v>
      </c>
      <c r="F163" s="7">
        <f t="shared" si="46"/>
        <v>1</v>
      </c>
      <c r="G163" s="18"/>
      <c r="H163" s="18"/>
      <c r="I163" s="19"/>
      <c r="J163" s="18"/>
      <c r="K163" s="18"/>
      <c r="L163" s="20"/>
      <c r="M163" s="11">
        <v>1</v>
      </c>
      <c r="N163" s="11">
        <v>856</v>
      </c>
      <c r="O163" s="9">
        <f t="shared" si="45"/>
        <v>856</v>
      </c>
      <c r="P163" s="11">
        <v>256800</v>
      </c>
      <c r="Q163" s="11">
        <v>100568</v>
      </c>
      <c r="R163" s="21">
        <f t="shared" si="42"/>
        <v>1.05679012345679</v>
      </c>
      <c r="S163" s="14"/>
      <c r="T163" s="14"/>
      <c r="U163" s="15"/>
      <c r="V163" s="14"/>
      <c r="W163" s="14"/>
      <c r="X163" s="15"/>
      <c r="Y163" s="24">
        <f t="shared" si="43"/>
        <v>1.05679012345679</v>
      </c>
    </row>
    <row r="164" spans="1:25" ht="16" x14ac:dyDescent="0.2">
      <c r="A164" s="8">
        <v>172</v>
      </c>
      <c r="B164" s="3" t="s">
        <v>176</v>
      </c>
      <c r="C164" s="8">
        <v>0</v>
      </c>
      <c r="D164" s="8">
        <v>1</v>
      </c>
      <c r="E164" s="8">
        <v>0</v>
      </c>
      <c r="F164" s="7">
        <f t="shared" si="46"/>
        <v>1</v>
      </c>
      <c r="G164" s="18"/>
      <c r="H164" s="18"/>
      <c r="I164" s="19"/>
      <c r="J164" s="18"/>
      <c r="K164" s="18"/>
      <c r="L164" s="20"/>
      <c r="M164" s="11">
        <v>2</v>
      </c>
      <c r="N164" s="11">
        <v>3020</v>
      </c>
      <c r="O164" s="9">
        <f t="shared" si="45"/>
        <v>1510</v>
      </c>
      <c r="P164" s="11">
        <v>906000</v>
      </c>
      <c r="Q164" s="11">
        <v>274560</v>
      </c>
      <c r="R164" s="21">
        <f t="shared" si="42"/>
        <v>1.8641975308641976</v>
      </c>
      <c r="S164" s="14"/>
      <c r="T164" s="14"/>
      <c r="U164" s="15"/>
      <c r="V164" s="14"/>
      <c r="W164" s="14"/>
      <c r="X164" s="15"/>
      <c r="Y164" s="24">
        <f t="shared" si="43"/>
        <v>1.8641975308641976</v>
      </c>
    </row>
    <row r="165" spans="1:25" ht="16" x14ac:dyDescent="0.2">
      <c r="A165" s="8">
        <v>173</v>
      </c>
      <c r="B165" s="3" t="s">
        <v>137</v>
      </c>
      <c r="C165" s="8">
        <v>0</v>
      </c>
      <c r="D165" s="8">
        <v>1</v>
      </c>
      <c r="E165" s="8">
        <v>1</v>
      </c>
      <c r="F165" s="7">
        <f t="shared" si="46"/>
        <v>2</v>
      </c>
      <c r="G165" s="18"/>
      <c r="H165" s="18"/>
      <c r="I165" s="19"/>
      <c r="J165" s="18"/>
      <c r="K165" s="18"/>
      <c r="L165" s="20"/>
      <c r="M165" s="11">
        <v>1</v>
      </c>
      <c r="N165" s="11">
        <v>600</v>
      </c>
      <c r="O165" s="9">
        <f t="shared" si="45"/>
        <v>600</v>
      </c>
      <c r="P165" s="11">
        <v>180000</v>
      </c>
      <c r="Q165" s="11">
        <v>139811</v>
      </c>
      <c r="R165" s="21">
        <f t="shared" si="42"/>
        <v>0.7407407407407407</v>
      </c>
      <c r="S165" s="14">
        <v>0.5</v>
      </c>
      <c r="T165" s="14">
        <v>318</v>
      </c>
      <c r="U165" s="15">
        <f>T165/S165</f>
        <v>636</v>
      </c>
      <c r="V165" s="14">
        <f>T165*300</f>
        <v>95400</v>
      </c>
      <c r="W165" s="14">
        <v>71454</v>
      </c>
      <c r="X165" s="15">
        <f t="shared" si="44"/>
        <v>0.78421701602959315</v>
      </c>
      <c r="Y165" s="24">
        <f t="shared" si="43"/>
        <v>0.76247887838516692</v>
      </c>
    </row>
    <row r="166" spans="1:25" ht="16" x14ac:dyDescent="0.2">
      <c r="A166" s="8">
        <v>174</v>
      </c>
      <c r="B166" s="3" t="s">
        <v>138</v>
      </c>
      <c r="C166" s="8">
        <v>0</v>
      </c>
      <c r="D166" s="8">
        <v>1</v>
      </c>
      <c r="E166" s="8">
        <v>1</v>
      </c>
      <c r="F166" s="7">
        <f t="shared" si="46"/>
        <v>2</v>
      </c>
      <c r="G166" s="18"/>
      <c r="H166" s="18"/>
      <c r="I166" s="19"/>
      <c r="J166" s="18"/>
      <c r="K166" s="18"/>
      <c r="L166" s="20"/>
      <c r="M166" s="11">
        <v>5</v>
      </c>
      <c r="N166" s="11">
        <v>4028</v>
      </c>
      <c r="O166" s="9">
        <f t="shared" si="45"/>
        <v>805.6</v>
      </c>
      <c r="P166" s="11">
        <v>1208400</v>
      </c>
      <c r="Q166" s="11">
        <v>546084</v>
      </c>
      <c r="R166" s="21">
        <f t="shared" si="42"/>
        <v>0.99456790123456795</v>
      </c>
      <c r="S166" s="14">
        <v>3</v>
      </c>
      <c r="T166" s="14">
        <v>3283</v>
      </c>
      <c r="U166" s="15">
        <f>T166/S166</f>
        <v>1094.3333333333333</v>
      </c>
      <c r="V166" s="14">
        <f>T166*300</f>
        <v>984900</v>
      </c>
      <c r="W166" s="14">
        <v>522871</v>
      </c>
      <c r="X166" s="15">
        <f t="shared" si="44"/>
        <v>1.3493629264282778</v>
      </c>
      <c r="Y166" s="24">
        <f t="shared" si="43"/>
        <v>1.1719654138314228</v>
      </c>
    </row>
    <row r="167" spans="1:25" ht="16" x14ac:dyDescent="0.2">
      <c r="A167" s="8">
        <v>175</v>
      </c>
      <c r="B167" s="3" t="s">
        <v>124</v>
      </c>
      <c r="C167" s="8">
        <v>0</v>
      </c>
      <c r="D167" s="8">
        <v>1</v>
      </c>
      <c r="E167" s="8">
        <v>0</v>
      </c>
      <c r="F167" s="7">
        <f t="shared" si="46"/>
        <v>1</v>
      </c>
      <c r="G167" s="18"/>
      <c r="H167" s="18"/>
      <c r="I167" s="19"/>
      <c r="J167" s="18"/>
      <c r="K167" s="18"/>
      <c r="L167" s="20"/>
      <c r="M167" s="11">
        <v>0.5</v>
      </c>
      <c r="N167" s="11">
        <v>400</v>
      </c>
      <c r="O167" s="9">
        <f t="shared" si="45"/>
        <v>800</v>
      </c>
      <c r="P167" s="11">
        <v>120000</v>
      </c>
      <c r="Q167" s="11">
        <v>93200</v>
      </c>
      <c r="R167" s="21">
        <f t="shared" si="42"/>
        <v>0.98765432098765427</v>
      </c>
      <c r="S167" s="14"/>
      <c r="T167" s="14"/>
      <c r="U167" s="15"/>
      <c r="V167" s="14"/>
      <c r="W167" s="14"/>
      <c r="X167" s="15"/>
      <c r="Y167" s="24">
        <f t="shared" si="43"/>
        <v>0.98765432098765427</v>
      </c>
    </row>
    <row r="168" spans="1:25" ht="16" x14ac:dyDescent="0.2">
      <c r="A168" s="8">
        <v>176</v>
      </c>
      <c r="B168" s="3" t="s">
        <v>177</v>
      </c>
      <c r="C168" s="8">
        <v>0</v>
      </c>
      <c r="D168" s="8">
        <v>1</v>
      </c>
      <c r="E168" s="8">
        <v>0</v>
      </c>
      <c r="F168" s="7">
        <f t="shared" si="46"/>
        <v>1</v>
      </c>
      <c r="G168" s="18"/>
      <c r="H168" s="18"/>
      <c r="I168" s="19"/>
      <c r="J168" s="18"/>
      <c r="K168" s="18"/>
      <c r="L168" s="20"/>
      <c r="M168" s="11">
        <v>3</v>
      </c>
      <c r="N168" s="11">
        <v>3693</v>
      </c>
      <c r="O168" s="9">
        <f t="shared" si="45"/>
        <v>1231</v>
      </c>
      <c r="P168" s="11">
        <v>1107900</v>
      </c>
      <c r="Q168" s="11">
        <v>526606</v>
      </c>
      <c r="R168" s="21">
        <f t="shared" si="42"/>
        <v>1.519753086419753</v>
      </c>
      <c r="S168" s="14"/>
      <c r="T168" s="14"/>
      <c r="U168" s="15"/>
      <c r="V168" s="14"/>
      <c r="W168" s="14"/>
      <c r="X168" s="15"/>
      <c r="Y168" s="24">
        <f t="shared" si="43"/>
        <v>1.519753086419753</v>
      </c>
    </row>
    <row r="169" spans="1:25" ht="16" x14ac:dyDescent="0.2">
      <c r="A169" s="8">
        <v>177</v>
      </c>
      <c r="B169" s="3" t="s">
        <v>178</v>
      </c>
      <c r="C169" s="8">
        <v>0</v>
      </c>
      <c r="D169" s="8">
        <v>1</v>
      </c>
      <c r="E169" s="8">
        <v>0</v>
      </c>
      <c r="F169" s="7">
        <f t="shared" si="46"/>
        <v>1</v>
      </c>
      <c r="G169" s="18"/>
      <c r="H169" s="18"/>
      <c r="I169" s="19"/>
      <c r="J169" s="18"/>
      <c r="K169" s="18"/>
      <c r="L169" s="20"/>
      <c r="M169" s="11">
        <v>0.5</v>
      </c>
      <c r="N169" s="11">
        <v>243</v>
      </c>
      <c r="O169" s="9">
        <f t="shared" si="45"/>
        <v>486</v>
      </c>
      <c r="P169" s="11">
        <v>72900</v>
      </c>
      <c r="Q169" s="11">
        <v>227740</v>
      </c>
      <c r="R169" s="21">
        <f t="shared" si="42"/>
        <v>0.6</v>
      </c>
      <c r="S169" s="14"/>
      <c r="T169" s="14"/>
      <c r="U169" s="15"/>
      <c r="V169" s="14"/>
      <c r="W169" s="14"/>
      <c r="X169" s="15"/>
      <c r="Y169" s="24">
        <f t="shared" si="43"/>
        <v>0.6</v>
      </c>
    </row>
    <row r="170" spans="1:25" ht="16" x14ac:dyDescent="0.2">
      <c r="A170" s="8">
        <v>178</v>
      </c>
      <c r="B170" s="3" t="s">
        <v>116</v>
      </c>
      <c r="C170" s="8">
        <v>0</v>
      </c>
      <c r="D170" s="8">
        <v>1</v>
      </c>
      <c r="E170" s="8">
        <v>0</v>
      </c>
      <c r="F170" s="7">
        <f t="shared" si="46"/>
        <v>1</v>
      </c>
      <c r="G170" s="18"/>
      <c r="H170" s="18"/>
      <c r="I170" s="19"/>
      <c r="J170" s="18"/>
      <c r="K170" s="18"/>
      <c r="L170" s="20"/>
      <c r="M170" s="11">
        <v>0.5</v>
      </c>
      <c r="N170" s="11">
        <v>235</v>
      </c>
      <c r="O170" s="9">
        <f t="shared" si="45"/>
        <v>470</v>
      </c>
      <c r="P170" s="11">
        <v>70500</v>
      </c>
      <c r="Q170" s="11">
        <v>122716</v>
      </c>
      <c r="R170" s="21">
        <f t="shared" si="42"/>
        <v>0.58024691358024694</v>
      </c>
      <c r="S170" s="14"/>
      <c r="T170" s="14"/>
      <c r="U170" s="15"/>
      <c r="V170" s="14"/>
      <c r="W170" s="14"/>
      <c r="X170" s="15"/>
      <c r="Y170" s="24">
        <f t="shared" si="43"/>
        <v>0.58024691358024694</v>
      </c>
    </row>
    <row r="171" spans="1:25" ht="16" x14ac:dyDescent="0.2">
      <c r="A171" s="8">
        <v>179</v>
      </c>
      <c r="B171" s="3" t="s">
        <v>179</v>
      </c>
      <c r="C171" s="8">
        <v>0</v>
      </c>
      <c r="D171" s="8">
        <v>1</v>
      </c>
      <c r="E171" s="8">
        <v>0</v>
      </c>
      <c r="F171" s="7">
        <f t="shared" si="46"/>
        <v>1</v>
      </c>
      <c r="G171" s="18"/>
      <c r="H171" s="18"/>
      <c r="I171" s="19"/>
      <c r="J171" s="18"/>
      <c r="K171" s="18"/>
      <c r="L171" s="20"/>
      <c r="M171" s="11">
        <v>0.5</v>
      </c>
      <c r="N171" s="11">
        <v>312</v>
      </c>
      <c r="O171" s="9">
        <f t="shared" si="45"/>
        <v>624</v>
      </c>
      <c r="P171" s="11">
        <v>93600</v>
      </c>
      <c r="Q171" s="11">
        <v>46436</v>
      </c>
      <c r="R171" s="21">
        <f t="shared" si="42"/>
        <v>0.77037037037037037</v>
      </c>
      <c r="S171" s="14"/>
      <c r="T171" s="14"/>
      <c r="U171" s="15"/>
      <c r="V171" s="14"/>
      <c r="W171" s="14"/>
      <c r="X171" s="15"/>
      <c r="Y171" s="24">
        <f t="shared" si="43"/>
        <v>0.77037037037037037</v>
      </c>
    </row>
    <row r="172" spans="1:25" ht="16" x14ac:dyDescent="0.2">
      <c r="A172" s="8">
        <v>180</v>
      </c>
      <c r="B172" s="3" t="s">
        <v>180</v>
      </c>
      <c r="C172" s="8">
        <v>0</v>
      </c>
      <c r="D172" s="8">
        <v>1</v>
      </c>
      <c r="E172" s="8">
        <v>0</v>
      </c>
      <c r="F172" s="7">
        <f t="shared" si="46"/>
        <v>1</v>
      </c>
      <c r="G172" s="18"/>
      <c r="H172" s="18"/>
      <c r="I172" s="19"/>
      <c r="J172" s="18"/>
      <c r="K172" s="18"/>
      <c r="L172" s="20"/>
      <c r="M172" s="11">
        <v>0.5</v>
      </c>
      <c r="N172" s="11">
        <v>400</v>
      </c>
      <c r="O172" s="9">
        <f t="shared" si="45"/>
        <v>800</v>
      </c>
      <c r="P172" s="11">
        <v>120000</v>
      </c>
      <c r="Q172" s="11">
        <v>49200</v>
      </c>
      <c r="R172" s="21">
        <f t="shared" si="42"/>
        <v>0.98765432098765427</v>
      </c>
      <c r="S172" s="14"/>
      <c r="T172" s="14"/>
      <c r="U172" s="15"/>
      <c r="V172" s="14"/>
      <c r="W172" s="14"/>
      <c r="X172" s="15"/>
      <c r="Y172" s="24">
        <f t="shared" si="43"/>
        <v>0.98765432098765427</v>
      </c>
    </row>
    <row r="173" spans="1:25" ht="16" x14ac:dyDescent="0.2">
      <c r="A173" s="8">
        <v>181</v>
      </c>
      <c r="B173" s="3" t="s">
        <v>181</v>
      </c>
      <c r="C173" s="8">
        <v>0</v>
      </c>
      <c r="D173" s="8">
        <v>1</v>
      </c>
      <c r="E173" s="8">
        <v>0</v>
      </c>
      <c r="F173" s="7">
        <f t="shared" si="46"/>
        <v>1</v>
      </c>
      <c r="G173" s="18"/>
      <c r="H173" s="18"/>
      <c r="I173" s="19"/>
      <c r="J173" s="18"/>
      <c r="K173" s="18"/>
      <c r="L173" s="20"/>
      <c r="M173" s="11">
        <v>1</v>
      </c>
      <c r="N173" s="11">
        <v>720</v>
      </c>
      <c r="O173" s="9">
        <f t="shared" si="45"/>
        <v>720</v>
      </c>
      <c r="P173" s="11">
        <v>216000</v>
      </c>
      <c r="Q173" s="11">
        <v>144171</v>
      </c>
      <c r="R173" s="21">
        <f t="shared" si="42"/>
        <v>0.88888888888888884</v>
      </c>
      <c r="S173" s="14"/>
      <c r="T173" s="14"/>
      <c r="U173" s="15"/>
      <c r="V173" s="14"/>
      <c r="W173" s="14"/>
      <c r="X173" s="15"/>
      <c r="Y173" s="24">
        <f t="shared" si="43"/>
        <v>0.88888888888888884</v>
      </c>
    </row>
    <row r="174" spans="1:25" ht="16" x14ac:dyDescent="0.2">
      <c r="A174" s="8">
        <v>182</v>
      </c>
      <c r="B174" s="3" t="s">
        <v>139</v>
      </c>
      <c r="C174" s="8">
        <v>0</v>
      </c>
      <c r="D174" s="8">
        <v>1</v>
      </c>
      <c r="E174" s="8">
        <v>1</v>
      </c>
      <c r="F174" s="7">
        <f t="shared" si="46"/>
        <v>2</v>
      </c>
      <c r="G174" s="18"/>
      <c r="H174" s="18"/>
      <c r="I174" s="19"/>
      <c r="J174" s="18"/>
      <c r="K174" s="18"/>
      <c r="L174" s="20"/>
      <c r="M174" s="11">
        <v>1</v>
      </c>
      <c r="N174" s="11">
        <v>505</v>
      </c>
      <c r="O174" s="9">
        <f t="shared" si="45"/>
        <v>505</v>
      </c>
      <c r="P174" s="11">
        <v>151500</v>
      </c>
      <c r="Q174" s="11">
        <v>164526</v>
      </c>
      <c r="R174" s="21">
        <f t="shared" si="42"/>
        <v>0.62345679012345678</v>
      </c>
      <c r="S174" s="14">
        <v>1</v>
      </c>
      <c r="T174" s="14">
        <v>388</v>
      </c>
      <c r="U174" s="15">
        <f>T174/S174</f>
        <v>388</v>
      </c>
      <c r="V174" s="14">
        <f>T174*300</f>
        <v>116400</v>
      </c>
      <c r="W174" s="14">
        <v>78664</v>
      </c>
      <c r="X174" s="15">
        <f t="shared" si="44"/>
        <v>0.47842170160295933</v>
      </c>
      <c r="Y174" s="24">
        <f t="shared" si="43"/>
        <v>0.55093924586320808</v>
      </c>
    </row>
    <row r="175" spans="1:25" ht="16" x14ac:dyDescent="0.2">
      <c r="A175" s="8">
        <v>183</v>
      </c>
      <c r="B175" s="3" t="s">
        <v>140</v>
      </c>
      <c r="C175" s="8">
        <v>0</v>
      </c>
      <c r="D175" s="8">
        <v>1</v>
      </c>
      <c r="E175" s="8">
        <v>1</v>
      </c>
      <c r="F175" s="7">
        <f t="shared" si="46"/>
        <v>2</v>
      </c>
      <c r="G175" s="18"/>
      <c r="H175" s="18"/>
      <c r="I175" s="19"/>
      <c r="J175" s="18"/>
      <c r="K175" s="18"/>
      <c r="L175" s="20"/>
      <c r="M175" s="11">
        <v>2</v>
      </c>
      <c r="N175" s="11">
        <v>1571</v>
      </c>
      <c r="O175" s="9">
        <f t="shared" si="45"/>
        <v>785.5</v>
      </c>
      <c r="P175" s="11">
        <v>471300</v>
      </c>
      <c r="Q175" s="11">
        <v>307735</v>
      </c>
      <c r="R175" s="21">
        <f t="shared" si="42"/>
        <v>0.96975308641975311</v>
      </c>
      <c r="S175" s="14">
        <v>2</v>
      </c>
      <c r="T175" s="14">
        <v>1790</v>
      </c>
      <c r="U175" s="15">
        <f>T175/S175</f>
        <v>895</v>
      </c>
      <c r="V175" s="14">
        <f>T175*300</f>
        <v>537000</v>
      </c>
      <c r="W175" s="14">
        <v>356392</v>
      </c>
      <c r="X175" s="15">
        <f t="shared" si="44"/>
        <v>1.1035758323057954</v>
      </c>
      <c r="Y175" s="24">
        <f t="shared" si="43"/>
        <v>1.0366644593627743</v>
      </c>
    </row>
    <row r="176" spans="1:25" ht="16" x14ac:dyDescent="0.2">
      <c r="A176" s="8">
        <v>184</v>
      </c>
      <c r="B176" s="3" t="s">
        <v>182</v>
      </c>
      <c r="C176" s="8">
        <v>0</v>
      </c>
      <c r="D176" s="8">
        <v>1</v>
      </c>
      <c r="E176" s="8">
        <v>0</v>
      </c>
      <c r="F176" s="7">
        <f t="shared" si="46"/>
        <v>1</v>
      </c>
      <c r="G176" s="18"/>
      <c r="H176" s="18"/>
      <c r="I176" s="19"/>
      <c r="J176" s="18"/>
      <c r="K176" s="18"/>
      <c r="L176" s="20"/>
      <c r="M176" s="11">
        <v>3</v>
      </c>
      <c r="N176" s="11">
        <v>2068</v>
      </c>
      <c r="O176" s="9">
        <f t="shared" ref="O176:O178" si="47">N176/M176</f>
        <v>689.33333333333337</v>
      </c>
      <c r="P176" s="11">
        <v>620400</v>
      </c>
      <c r="Q176" s="11">
        <v>299737</v>
      </c>
      <c r="R176" s="21">
        <f t="shared" si="42"/>
        <v>0.8510288065843622</v>
      </c>
      <c r="S176" s="14"/>
      <c r="T176" s="14"/>
      <c r="U176" s="15"/>
      <c r="V176" s="14"/>
      <c r="W176" s="14"/>
      <c r="X176" s="15"/>
      <c r="Y176" s="24">
        <f t="shared" si="43"/>
        <v>0.8510288065843622</v>
      </c>
    </row>
    <row r="177" spans="1:25" ht="16" x14ac:dyDescent="0.2">
      <c r="A177" s="8">
        <v>185</v>
      </c>
      <c r="B177" s="3" t="s">
        <v>183</v>
      </c>
      <c r="C177" s="8">
        <v>0</v>
      </c>
      <c r="D177" s="8">
        <v>1</v>
      </c>
      <c r="E177" s="8">
        <v>0</v>
      </c>
      <c r="F177" s="7">
        <f t="shared" si="46"/>
        <v>1</v>
      </c>
      <c r="G177" s="18"/>
      <c r="H177" s="18"/>
      <c r="I177" s="19"/>
      <c r="J177" s="18"/>
      <c r="K177" s="18"/>
      <c r="L177" s="20"/>
      <c r="M177" s="11">
        <v>1.5</v>
      </c>
      <c r="N177" s="11">
        <v>1119</v>
      </c>
      <c r="O177" s="9">
        <f t="shared" si="47"/>
        <v>746</v>
      </c>
      <c r="P177" s="11">
        <v>335700</v>
      </c>
      <c r="Q177" s="11">
        <v>207868</v>
      </c>
      <c r="R177" s="21">
        <f t="shared" si="42"/>
        <v>0.92098765432098761</v>
      </c>
      <c r="S177" s="14"/>
      <c r="T177" s="14"/>
      <c r="U177" s="15"/>
      <c r="V177" s="14"/>
      <c r="W177" s="14"/>
      <c r="X177" s="15"/>
      <c r="Y177" s="24">
        <f t="shared" si="43"/>
        <v>0.92098765432098761</v>
      </c>
    </row>
    <row r="178" spans="1:25" ht="16" x14ac:dyDescent="0.2">
      <c r="A178" s="8">
        <v>186</v>
      </c>
      <c r="B178" s="3" t="s">
        <v>184</v>
      </c>
      <c r="C178" s="8">
        <v>0</v>
      </c>
      <c r="D178" s="8">
        <v>1</v>
      </c>
      <c r="E178" s="8">
        <v>0</v>
      </c>
      <c r="F178" s="7">
        <f t="shared" si="46"/>
        <v>1</v>
      </c>
      <c r="G178" s="18"/>
      <c r="H178" s="18"/>
      <c r="I178" s="19"/>
      <c r="J178" s="18"/>
      <c r="K178" s="18"/>
      <c r="L178" s="20"/>
      <c r="M178" s="11">
        <v>0.5</v>
      </c>
      <c r="N178" s="11">
        <v>401</v>
      </c>
      <c r="O178" s="9">
        <f t="shared" si="47"/>
        <v>802</v>
      </c>
      <c r="P178" s="11">
        <v>120300</v>
      </c>
      <c r="Q178" s="11">
        <v>16726</v>
      </c>
      <c r="R178" s="21">
        <f t="shared" si="42"/>
        <v>0.99012345679012348</v>
      </c>
      <c r="S178" s="14"/>
      <c r="T178" s="14"/>
      <c r="U178" s="15"/>
      <c r="V178" s="14"/>
      <c r="W178" s="14"/>
      <c r="X178" s="15"/>
      <c r="Y178" s="24">
        <f t="shared" si="43"/>
        <v>0.99012345679012348</v>
      </c>
    </row>
    <row r="179" spans="1:25" ht="16" x14ac:dyDescent="0.2">
      <c r="A179" s="8">
        <v>187</v>
      </c>
      <c r="B179" s="3" t="s">
        <v>185</v>
      </c>
      <c r="C179" s="8">
        <v>0</v>
      </c>
      <c r="D179" s="8">
        <v>0</v>
      </c>
      <c r="E179" s="8">
        <v>1</v>
      </c>
      <c r="F179" s="7">
        <f t="shared" si="46"/>
        <v>1</v>
      </c>
      <c r="G179" s="18"/>
      <c r="H179" s="18"/>
      <c r="I179" s="19"/>
      <c r="J179" s="18"/>
      <c r="K179" s="18"/>
      <c r="L179" s="20"/>
      <c r="M179" s="11"/>
      <c r="N179" s="11"/>
      <c r="O179" s="9"/>
      <c r="P179" s="11"/>
      <c r="Q179" s="11"/>
      <c r="R179" s="21"/>
      <c r="S179" s="14">
        <v>2</v>
      </c>
      <c r="T179" s="14">
        <v>764</v>
      </c>
      <c r="U179" s="15">
        <f t="shared" ref="U179:U188" si="48">T179/S179</f>
        <v>382</v>
      </c>
      <c r="V179" s="14">
        <f t="shared" ref="V179:V188" si="49">T179*300</f>
        <v>229200</v>
      </c>
      <c r="W179" s="14">
        <v>198292</v>
      </c>
      <c r="X179" s="15">
        <f t="shared" si="44"/>
        <v>0.47102342786683105</v>
      </c>
      <c r="Y179" s="24">
        <f t="shared" si="43"/>
        <v>0.47102342786683105</v>
      </c>
    </row>
    <row r="180" spans="1:25" ht="16" x14ac:dyDescent="0.2">
      <c r="A180" s="8">
        <v>188</v>
      </c>
      <c r="B180" s="3" t="s">
        <v>186</v>
      </c>
      <c r="C180" s="8">
        <v>0</v>
      </c>
      <c r="D180" s="8">
        <v>0</v>
      </c>
      <c r="E180" s="8">
        <v>1</v>
      </c>
      <c r="F180" s="7">
        <f t="shared" si="46"/>
        <v>1</v>
      </c>
      <c r="G180" s="18"/>
      <c r="H180" s="18"/>
      <c r="I180" s="19"/>
      <c r="J180" s="18"/>
      <c r="K180" s="18"/>
      <c r="L180" s="20"/>
      <c r="M180" s="11"/>
      <c r="N180" s="11"/>
      <c r="O180" s="9"/>
      <c r="P180" s="11"/>
      <c r="Q180" s="11"/>
      <c r="R180" s="21"/>
      <c r="S180" s="14">
        <v>2</v>
      </c>
      <c r="T180" s="14">
        <v>2160</v>
      </c>
      <c r="U180" s="15">
        <f t="shared" si="48"/>
        <v>1080</v>
      </c>
      <c r="V180" s="14">
        <f t="shared" si="49"/>
        <v>648000</v>
      </c>
      <c r="W180" s="14">
        <v>378502</v>
      </c>
      <c r="X180" s="15">
        <f t="shared" si="44"/>
        <v>1.3316892725030827</v>
      </c>
      <c r="Y180" s="24">
        <f t="shared" si="43"/>
        <v>1.3316892725030827</v>
      </c>
    </row>
    <row r="181" spans="1:25" ht="16" x14ac:dyDescent="0.2">
      <c r="A181" s="8">
        <v>189</v>
      </c>
      <c r="B181" s="3" t="s">
        <v>187</v>
      </c>
      <c r="C181" s="8">
        <v>0</v>
      </c>
      <c r="D181" s="8">
        <v>0</v>
      </c>
      <c r="E181" s="8">
        <v>1</v>
      </c>
      <c r="F181" s="7">
        <f t="shared" si="46"/>
        <v>1</v>
      </c>
      <c r="G181" s="18"/>
      <c r="H181" s="18"/>
      <c r="I181" s="19"/>
      <c r="J181" s="18"/>
      <c r="K181" s="18"/>
      <c r="L181" s="20"/>
      <c r="M181" s="11"/>
      <c r="N181" s="11"/>
      <c r="O181" s="9"/>
      <c r="P181" s="11"/>
      <c r="Q181" s="11"/>
      <c r="R181" s="21"/>
      <c r="S181" s="14">
        <v>1.5</v>
      </c>
      <c r="T181" s="14">
        <v>1795</v>
      </c>
      <c r="U181" s="15">
        <f t="shared" si="48"/>
        <v>1196.6666666666667</v>
      </c>
      <c r="V181" s="14">
        <f t="shared" si="49"/>
        <v>538500</v>
      </c>
      <c r="W181" s="14">
        <v>254407</v>
      </c>
      <c r="X181" s="15">
        <f t="shared" si="44"/>
        <v>1.4755445951500206</v>
      </c>
      <c r="Y181" s="24">
        <f t="shared" si="43"/>
        <v>1.4755445951500206</v>
      </c>
    </row>
    <row r="182" spans="1:25" ht="16" x14ac:dyDescent="0.2">
      <c r="A182" s="8">
        <v>190</v>
      </c>
      <c r="B182" s="3" t="s">
        <v>188</v>
      </c>
      <c r="C182" s="8">
        <v>0</v>
      </c>
      <c r="D182" s="8">
        <v>0</v>
      </c>
      <c r="E182" s="8">
        <v>1</v>
      </c>
      <c r="F182" s="7">
        <f t="shared" si="46"/>
        <v>1</v>
      </c>
      <c r="G182" s="18"/>
      <c r="H182" s="18"/>
      <c r="I182" s="19"/>
      <c r="J182" s="18"/>
      <c r="K182" s="18"/>
      <c r="L182" s="20"/>
      <c r="M182" s="11"/>
      <c r="N182" s="11"/>
      <c r="O182" s="9"/>
      <c r="P182" s="11"/>
      <c r="Q182" s="11"/>
      <c r="R182" s="21"/>
      <c r="S182" s="14">
        <v>1</v>
      </c>
      <c r="T182" s="14">
        <v>332</v>
      </c>
      <c r="U182" s="15">
        <f t="shared" si="48"/>
        <v>332</v>
      </c>
      <c r="V182" s="14">
        <f t="shared" si="49"/>
        <v>99600</v>
      </c>
      <c r="W182" s="14">
        <v>144011</v>
      </c>
      <c r="X182" s="15">
        <f t="shared" si="44"/>
        <v>0.40937114673242908</v>
      </c>
      <c r="Y182" s="24">
        <f t="shared" si="43"/>
        <v>0.40937114673242908</v>
      </c>
    </row>
    <row r="183" spans="1:25" ht="16" x14ac:dyDescent="0.2">
      <c r="A183" s="8">
        <v>191</v>
      </c>
      <c r="B183" s="3" t="s">
        <v>189</v>
      </c>
      <c r="C183" s="8">
        <v>0</v>
      </c>
      <c r="D183" s="8">
        <v>0</v>
      </c>
      <c r="E183" s="8">
        <v>1</v>
      </c>
      <c r="F183" s="7">
        <f t="shared" si="46"/>
        <v>1</v>
      </c>
      <c r="G183" s="18"/>
      <c r="H183" s="18"/>
      <c r="I183" s="19"/>
      <c r="J183" s="18"/>
      <c r="K183" s="18"/>
      <c r="L183" s="20"/>
      <c r="M183" s="11"/>
      <c r="N183" s="11"/>
      <c r="O183" s="9"/>
      <c r="P183" s="11"/>
      <c r="Q183" s="11"/>
      <c r="R183" s="21"/>
      <c r="S183" s="14">
        <v>3.5</v>
      </c>
      <c r="T183" s="14">
        <v>2850</v>
      </c>
      <c r="U183" s="15">
        <f t="shared" si="48"/>
        <v>814.28571428571433</v>
      </c>
      <c r="V183" s="14">
        <f t="shared" si="49"/>
        <v>855000</v>
      </c>
      <c r="W183" s="14">
        <v>580583</v>
      </c>
      <c r="X183" s="15">
        <f t="shared" si="44"/>
        <v>1.0040514356174035</v>
      </c>
      <c r="Y183" s="24">
        <f t="shared" si="43"/>
        <v>1.0040514356174035</v>
      </c>
    </row>
    <row r="184" spans="1:25" ht="16" x14ac:dyDescent="0.2">
      <c r="A184" s="8">
        <v>192</v>
      </c>
      <c r="B184" s="3" t="s">
        <v>190</v>
      </c>
      <c r="C184" s="8">
        <v>0</v>
      </c>
      <c r="D184" s="8">
        <v>0</v>
      </c>
      <c r="E184" s="8">
        <v>1</v>
      </c>
      <c r="F184" s="7">
        <f t="shared" si="46"/>
        <v>1</v>
      </c>
      <c r="G184" s="18"/>
      <c r="H184" s="18"/>
      <c r="I184" s="19"/>
      <c r="J184" s="18"/>
      <c r="K184" s="18"/>
      <c r="L184" s="20"/>
      <c r="M184" s="11"/>
      <c r="N184" s="11"/>
      <c r="O184" s="9"/>
      <c r="P184" s="11"/>
      <c r="Q184" s="11"/>
      <c r="R184" s="21"/>
      <c r="S184" s="14">
        <v>3</v>
      </c>
      <c r="T184" s="14">
        <v>1147</v>
      </c>
      <c r="U184" s="15">
        <f t="shared" si="48"/>
        <v>382.33333333333331</v>
      </c>
      <c r="V184" s="14">
        <f t="shared" si="49"/>
        <v>344100</v>
      </c>
      <c r="W184" s="14">
        <v>255452</v>
      </c>
      <c r="X184" s="15">
        <f t="shared" si="44"/>
        <v>0.47143444307439375</v>
      </c>
      <c r="Y184" s="24">
        <f t="shared" si="43"/>
        <v>0.47143444307439375</v>
      </c>
    </row>
    <row r="185" spans="1:25" ht="16" x14ac:dyDescent="0.2">
      <c r="A185" s="8">
        <v>193</v>
      </c>
      <c r="B185" s="3" t="s">
        <v>191</v>
      </c>
      <c r="C185" s="8">
        <v>0</v>
      </c>
      <c r="D185" s="8">
        <v>0</v>
      </c>
      <c r="E185" s="8">
        <v>1</v>
      </c>
      <c r="F185" s="7">
        <f t="shared" si="46"/>
        <v>1</v>
      </c>
      <c r="G185" s="18"/>
      <c r="H185" s="18"/>
      <c r="I185" s="19"/>
      <c r="J185" s="18"/>
      <c r="K185" s="18"/>
      <c r="L185" s="20"/>
      <c r="M185" s="11"/>
      <c r="N185" s="11"/>
      <c r="O185" s="9"/>
      <c r="P185" s="11"/>
      <c r="Q185" s="11"/>
      <c r="R185" s="21"/>
      <c r="S185" s="14">
        <v>2</v>
      </c>
      <c r="T185" s="14">
        <v>458</v>
      </c>
      <c r="U185" s="15">
        <f t="shared" si="48"/>
        <v>229</v>
      </c>
      <c r="V185" s="14">
        <f t="shared" si="49"/>
        <v>137400</v>
      </c>
      <c r="W185" s="14"/>
      <c r="X185" s="15">
        <f t="shared" si="44"/>
        <v>0.28236744759556104</v>
      </c>
      <c r="Y185" s="24">
        <f t="shared" si="43"/>
        <v>0.28236744759556104</v>
      </c>
    </row>
    <row r="186" spans="1:25" ht="16" x14ac:dyDescent="0.2">
      <c r="A186" s="8">
        <v>194</v>
      </c>
      <c r="B186" s="3" t="s">
        <v>192</v>
      </c>
      <c r="C186" s="8">
        <v>0</v>
      </c>
      <c r="D186" s="8">
        <v>0</v>
      </c>
      <c r="E186" s="8">
        <v>1</v>
      </c>
      <c r="F186" s="7">
        <f t="shared" si="46"/>
        <v>1</v>
      </c>
      <c r="G186" s="18"/>
      <c r="H186" s="18"/>
      <c r="I186" s="19"/>
      <c r="J186" s="18"/>
      <c r="K186" s="18"/>
      <c r="L186" s="20"/>
      <c r="M186" s="11"/>
      <c r="N186" s="11"/>
      <c r="O186" s="9"/>
      <c r="P186" s="11"/>
      <c r="Q186" s="11"/>
      <c r="R186" s="21"/>
      <c r="S186" s="14">
        <v>0.25</v>
      </c>
      <c r="T186" s="14">
        <v>177</v>
      </c>
      <c r="U186" s="15">
        <f t="shared" si="48"/>
        <v>708</v>
      </c>
      <c r="V186" s="14">
        <f t="shared" si="49"/>
        <v>53100</v>
      </c>
      <c r="W186" s="14"/>
      <c r="X186" s="15">
        <f t="shared" si="44"/>
        <v>0.87299630086313196</v>
      </c>
      <c r="Y186" s="24">
        <f t="shared" si="43"/>
        <v>0.87299630086313196</v>
      </c>
    </row>
    <row r="187" spans="1:25" ht="16" x14ac:dyDescent="0.2">
      <c r="A187" s="8">
        <v>195</v>
      </c>
      <c r="B187" s="3" t="s">
        <v>193</v>
      </c>
      <c r="C187" s="8">
        <v>0</v>
      </c>
      <c r="D187" s="8">
        <v>0</v>
      </c>
      <c r="E187" s="8">
        <v>1</v>
      </c>
      <c r="F187" s="7">
        <f t="shared" si="46"/>
        <v>1</v>
      </c>
      <c r="G187" s="18"/>
      <c r="H187" s="18"/>
      <c r="I187" s="19"/>
      <c r="J187" s="18"/>
      <c r="K187" s="18"/>
      <c r="L187" s="20"/>
      <c r="M187" s="11"/>
      <c r="N187" s="11"/>
      <c r="O187" s="9"/>
      <c r="P187" s="11"/>
      <c r="Q187" s="11"/>
      <c r="R187" s="21"/>
      <c r="S187" s="14">
        <v>4</v>
      </c>
      <c r="T187" s="14">
        <v>4320</v>
      </c>
      <c r="U187" s="15">
        <f t="shared" si="48"/>
        <v>1080</v>
      </c>
      <c r="V187" s="14">
        <f t="shared" si="49"/>
        <v>1296000</v>
      </c>
      <c r="W187" s="14">
        <v>843960</v>
      </c>
      <c r="X187" s="15">
        <f t="shared" si="44"/>
        <v>1.3316892725030827</v>
      </c>
      <c r="Y187" s="24">
        <f t="shared" si="43"/>
        <v>1.3316892725030827</v>
      </c>
    </row>
    <row r="188" spans="1:25" ht="16" x14ac:dyDescent="0.2">
      <c r="A188" s="8">
        <v>196</v>
      </c>
      <c r="B188" s="3" t="s">
        <v>194</v>
      </c>
      <c r="C188" s="8">
        <v>0</v>
      </c>
      <c r="D188" s="8">
        <v>0</v>
      </c>
      <c r="E188" s="8">
        <v>1</v>
      </c>
      <c r="F188" s="7">
        <f t="shared" si="46"/>
        <v>1</v>
      </c>
      <c r="G188" s="18"/>
      <c r="H188" s="18"/>
      <c r="I188" s="19"/>
      <c r="J188" s="18"/>
      <c r="K188" s="18"/>
      <c r="L188" s="20"/>
      <c r="M188" s="11"/>
      <c r="N188" s="11"/>
      <c r="O188" s="9"/>
      <c r="P188" s="11"/>
      <c r="Q188" s="11"/>
      <c r="R188" s="21"/>
      <c r="S188" s="14">
        <v>4</v>
      </c>
      <c r="T188" s="14">
        <v>1083</v>
      </c>
      <c r="U188" s="15">
        <f t="shared" si="48"/>
        <v>270.75</v>
      </c>
      <c r="V188" s="14">
        <f t="shared" si="49"/>
        <v>324900</v>
      </c>
      <c r="W188" s="14">
        <v>336749</v>
      </c>
      <c r="X188" s="15">
        <f t="shared" si="44"/>
        <v>0.33384710234278669</v>
      </c>
      <c r="Y188" s="24">
        <f t="shared" si="43"/>
        <v>0.33384710234278669</v>
      </c>
    </row>
  </sheetData>
  <autoFilter ref="A1:Y188" xr:uid="{62BD7CCA-0055-4606-92EB-38F9CE0B66B2}"/>
  <conditionalFormatting sqref="A83:A96">
    <cfRule type="duplicateValues" dxfId="9" priority="10"/>
  </conditionalFormatting>
  <conditionalFormatting sqref="A97:A111">
    <cfRule type="duplicateValues" dxfId="8" priority="28"/>
  </conditionalFormatting>
  <conditionalFormatting sqref="A110:A111">
    <cfRule type="duplicateValues" dxfId="7" priority="29"/>
  </conditionalFormatting>
  <conditionalFormatting sqref="A112:A128">
    <cfRule type="duplicateValues" dxfId="6" priority="6"/>
    <cfRule type="duplicateValues" dxfId="5" priority="7"/>
  </conditionalFormatting>
  <conditionalFormatting sqref="A129:A161">
    <cfRule type="duplicateValues" dxfId="4" priority="5"/>
  </conditionalFormatting>
  <conditionalFormatting sqref="A129:A178">
    <cfRule type="duplicateValues" dxfId="3" priority="3"/>
  </conditionalFormatting>
  <conditionalFormatting sqref="A162:A178">
    <cfRule type="duplicateValues" dxfId="2" priority="4"/>
  </conditionalFormatting>
  <conditionalFormatting sqref="A179:A188">
    <cfRule type="duplicateValues" dxfId="1" priority="2"/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95766-124A-45AE-9219-98CDFDD06D27}">
  <dimension ref="A1:L9"/>
  <sheetViews>
    <sheetView workbookViewId="0">
      <selection activeCell="E7" sqref="E7"/>
    </sheetView>
  </sheetViews>
  <sheetFormatPr baseColWidth="10" defaultColWidth="11.5" defaultRowHeight="18" x14ac:dyDescent="0.2"/>
  <cols>
    <col min="1" max="1" width="19" style="26" customWidth="1"/>
    <col min="2" max="10" width="11.5" style="26"/>
    <col min="11" max="11" width="10.6640625" style="26" customWidth="1"/>
    <col min="12" max="12" width="26.33203125" style="26" hidden="1" customWidth="1"/>
    <col min="13" max="16384" width="11.5" style="26"/>
  </cols>
  <sheetData>
    <row r="1" spans="1:12" ht="76.25" customHeight="1" x14ac:dyDescent="0.2">
      <c r="A1" s="28" t="s">
        <v>208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56.5" customHeight="1" x14ac:dyDescent="0.2">
      <c r="A2" s="28" t="s">
        <v>209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ht="62" customHeight="1" x14ac:dyDescent="0.2">
      <c r="A3" s="28" t="s">
        <v>210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9" spans="1:12" x14ac:dyDescent="0.2">
      <c r="I9" s="27"/>
    </row>
  </sheetData>
  <mergeCells count="3">
    <mergeCell ref="A1:L1"/>
    <mergeCell ref="A2:L2"/>
    <mergeCell ref="A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Coop_Cahier_Kassarou_1</vt:lpstr>
      <vt:lpstr>Tâches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Renaud Azanma</dc:creator>
  <cp:lastModifiedBy>ines claudel</cp:lastModifiedBy>
  <dcterms:created xsi:type="dcterms:W3CDTF">2025-11-03T15:15:52Z</dcterms:created>
  <dcterms:modified xsi:type="dcterms:W3CDTF">2025-11-10T08:08:04Z</dcterms:modified>
</cp:coreProperties>
</file>